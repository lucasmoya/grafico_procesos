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7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_moya\Downloads\python_analisis\"/>
    </mc:Choice>
  </mc:AlternateContent>
  <xr:revisionPtr revIDLastSave="0" documentId="13_ncr:1_{920F29E2-8D21-4756-B77D-8FC9D9C1F4EB}" xr6:coauthVersionLast="47" xr6:coauthVersionMax="47" xr10:uidLastSave="{00000000-0000-0000-0000-000000000000}"/>
  <bookViews>
    <workbookView xWindow="2200" yWindow="2200" windowWidth="14400" windowHeight="7270" activeTab="1" xr2:uid="{00000000-000D-0000-FFFF-FFFF00000000}"/>
  </bookViews>
  <sheets>
    <sheet name="Envasado" sheetId="9" r:id="rId1"/>
    <sheet name="Medidor" sheetId="10" r:id="rId2"/>
    <sheet name="Granel" sheetId="2" r:id="rId3"/>
    <sheet name="Matriz de Complejidad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9" l="1"/>
  <c r="P6" i="9" a="1"/>
  <c r="P6" i="9" s="1"/>
  <c r="F6" i="9"/>
  <c r="S6" i="9" s="1"/>
  <c r="T5" i="9"/>
  <c r="S5" i="9"/>
  <c r="R5" i="9"/>
  <c r="P5" i="9" a="1"/>
  <c r="P5" i="9" s="1"/>
  <c r="F5" i="9"/>
  <c r="T4" i="9"/>
  <c r="S4" i="9"/>
  <c r="R4" i="9"/>
  <c r="P4" i="9" a="1"/>
  <c r="P4" i="9" s="1"/>
  <c r="F4" i="9"/>
  <c r="P3" i="9" a="1"/>
  <c r="P3" i="9" s="1"/>
  <c r="F3" i="9"/>
  <c r="T3" i="9" s="1"/>
  <c r="T2" i="9"/>
  <c r="P2" i="9" a="1"/>
  <c r="P2" i="9" s="1"/>
  <c r="F2" i="9"/>
  <c r="S2" i="9" s="1"/>
  <c r="P3" i="10" a="1"/>
  <c r="P3" i="10" s="1"/>
  <c r="F3" i="10"/>
  <c r="T3" i="10" s="1"/>
  <c r="P2" i="10" a="1"/>
  <c r="P2" i="10" s="1"/>
  <c r="F2" i="10"/>
  <c r="S2" i="10" s="1"/>
  <c r="G3" i="8"/>
  <c r="F3" i="2" s="1"/>
  <c r="G4" i="8"/>
  <c r="F4" i="2" s="1"/>
  <c r="T4" i="2" s="1"/>
  <c r="G5" i="8"/>
  <c r="F5" i="2" s="1"/>
  <c r="R5" i="2" s="1"/>
  <c r="G6" i="8"/>
  <c r="F6" i="2" s="1"/>
  <c r="P3" i="2" a="1"/>
  <c r="P3" i="2" s="1"/>
  <c r="P4" i="2" a="1"/>
  <c r="P4" i="2" s="1"/>
  <c r="P5" i="2" a="1"/>
  <c r="P5" i="2" s="1"/>
  <c r="P6" i="2" a="1"/>
  <c r="P6" i="2" s="1"/>
  <c r="P2" i="2" a="1"/>
  <c r="P2" i="2" s="1"/>
  <c r="G2" i="8"/>
  <c r="F2" i="2" s="1"/>
  <c r="T2" i="2" s="1"/>
  <c r="T2" i="10" l="1"/>
  <c r="S3" i="9"/>
  <c r="R6" i="9"/>
  <c r="R3" i="9"/>
  <c r="R2" i="9"/>
  <c r="R3" i="10"/>
  <c r="S3" i="10"/>
  <c r="R2" i="10"/>
  <c r="H5" i="8"/>
  <c r="H4" i="8"/>
  <c r="H3" i="8"/>
  <c r="H2" i="8"/>
  <c r="H6" i="8"/>
  <c r="R6" i="2"/>
  <c r="S6" i="2"/>
  <c r="T6" i="2"/>
  <c r="R4" i="2"/>
  <c r="S4" i="2"/>
  <c r="S5" i="2"/>
  <c r="T5" i="2"/>
  <c r="R3" i="2"/>
  <c r="S3" i="2"/>
  <c r="T3" i="2"/>
  <c r="R2" i="2"/>
  <c r="S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<sst xmlns="http://schemas.openxmlformats.org/spreadsheetml/2006/main" count="186" uniqueCount="64">
  <si>
    <t>Procesos</t>
  </si>
  <si>
    <t>Líder</t>
  </si>
  <si>
    <t>¿Contenido dentro de una iniciativa?</t>
  </si>
  <si>
    <t>Fecha Iniciativa</t>
  </si>
  <si>
    <t>Status del proceso</t>
  </si>
  <si>
    <t>Complejidad</t>
  </si>
  <si>
    <t>To-be</t>
  </si>
  <si>
    <t>As-is</t>
  </si>
  <si>
    <t>Notas</t>
  </si>
  <si>
    <t>Levantar información</t>
  </si>
  <si>
    <t>Armar diagrama</t>
  </si>
  <si>
    <t>Validar diagrama</t>
  </si>
  <si>
    <t>Mejorar proceso</t>
  </si>
  <si>
    <t>Validar mejora</t>
  </si>
  <si>
    <t>Implementación</t>
  </si>
  <si>
    <t>% de avance</t>
  </si>
  <si>
    <t xml:space="preserve">Tiempo bruto de levantamiento </t>
  </si>
  <si>
    <t>Tiempo especifico en semanas</t>
  </si>
  <si>
    <t>Tiempo en meses</t>
  </si>
  <si>
    <t>Cambio de razón social</t>
  </si>
  <si>
    <t>En curso</t>
  </si>
  <si>
    <t>Devolución por trasvasije</t>
  </si>
  <si>
    <t>Bloqueo por sobregiro</t>
  </si>
  <si>
    <t>Retiro de tanque</t>
  </si>
  <si>
    <t>Gas de prueba</t>
  </si>
  <si>
    <t>BAJA: 1 A 4</t>
  </si>
  <si>
    <t>Columna</t>
  </si>
  <si>
    <t>Celda</t>
  </si>
  <si>
    <t>Promedio</t>
  </si>
  <si>
    <t>Peso (%)</t>
  </si>
  <si>
    <t>Factor Decimal</t>
  </si>
  <si>
    <t>MEDIA: 4 A 7</t>
  </si>
  <si>
    <t>Levantar el proceso</t>
  </si>
  <si>
    <t>I</t>
  </si>
  <si>
    <t>ALTA: 7 A 10</t>
  </si>
  <si>
    <t>Armar el diagrama</t>
  </si>
  <si>
    <t>J</t>
  </si>
  <si>
    <t>Validar el diagrama</t>
  </si>
  <si>
    <t>K</t>
  </si>
  <si>
    <t>Mejorar el diagrama</t>
  </si>
  <si>
    <t>L</t>
  </si>
  <si>
    <t>Validar la mejora</t>
  </si>
  <si>
    <t>M</t>
  </si>
  <si>
    <t>N</t>
  </si>
  <si>
    <t>TOTAL</t>
  </si>
  <si>
    <t>Proceso</t>
  </si>
  <si>
    <t>Áreas Involucradas (25%)</t>
  </si>
  <si>
    <t>Contenido dentro de una iniciativa (20%)</t>
  </si>
  <si>
    <t>¿Requiere desarrollo tecnologico? (20%)</t>
  </si>
  <si>
    <t>¿Es un levantamiento nuevo? (15%)</t>
  </si>
  <si>
    <t>¿Toca un proceso clave? (20%)</t>
  </si>
  <si>
    <t>Puntaje Final (1-10)</t>
  </si>
  <si>
    <t>4+</t>
  </si>
  <si>
    <t>BAJA: 1-2</t>
  </si>
  <si>
    <t>MEDIA: 3-4</t>
  </si>
  <si>
    <t>ALTA: 4+</t>
  </si>
  <si>
    <t>Fecha Inicio</t>
  </si>
  <si>
    <t>Cilindro defectuoso y poca duración.</t>
  </si>
  <si>
    <t>Pago Digital / Reembolso y devolución</t>
  </si>
  <si>
    <t xml:space="preserve">Proceso de reembolso y devolución de dinero (pago digital) </t>
  </si>
  <si>
    <t>Flujo del viaje del chofer</t>
  </si>
  <si>
    <t>Devolucion de cilindro DI</t>
  </si>
  <si>
    <t>Corte y reposición</t>
  </si>
  <si>
    <t>Autolectura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</si>
</sst>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000_-;\-* #,##0.0000_-;_-* &quot;-&quot;??_-;_-@_-"/>
    <numFmt numFmtId="166" formatCode="[&lt;4]&quot;Baja: &quot;0.0;[&lt;7]&quot;Media: &quot;0.0;&quot;Alta: &quot;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5" xfId="0" applyFont="1" applyBorder="1"/>
    <xf numFmtId="0" fontId="5" fillId="0" borderId="8" xfId="0" applyFont="1" applyBorder="1"/>
    <xf numFmtId="9" fontId="5" fillId="0" borderId="8" xfId="0" applyNumberFormat="1" applyFont="1" applyBorder="1"/>
    <xf numFmtId="165" fontId="5" fillId="0" borderId="6" xfId="0" applyNumberFormat="1" applyFont="1" applyBorder="1"/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readingOrder="1"/>
    </xf>
    <xf numFmtId="0" fontId="2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0" borderId="0" xfId="0" applyNumberFormat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readingOrder="1"/>
    </xf>
    <xf numFmtId="0" fontId="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8" fillId="0" borderId="0" xfId="0" applyNumberFormat="1" applyFont="1" applyAlignment="1">
      <alignment horizontal="center" vertical="center" readingOrder="1"/>
    </xf>
    <xf numFmtId="0" fontId="10" fillId="0" borderId="0" xfId="1" applyFont="1"/>
    <xf numFmtId="165" fontId="0" fillId="0" borderId="0" xfId="0" applyNumberFormat="1"/>
    <xf numFmtId="9" fontId="0" fillId="0" borderId="0" xfId="2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10" fontId="1" fillId="0" borderId="5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1" fillId="0" borderId="0" xfId="0" applyFont="1"/>
    <xf numFmtId="0" fontId="12" fillId="0" borderId="0" xfId="0" applyFont="1" applyAlignment="1">
      <alignment readingOrder="1"/>
    </xf>
    <xf numFmtId="0" fontId="12" fillId="0" borderId="0" xfId="0" applyFont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readingOrder="1"/>
    </xf>
    <xf numFmtId="14" fontId="0" fillId="0" borderId="0" xfId="0" applyNumberFormat="1"/>
    <xf numFmtId="14" fontId="0" fillId="0" borderId="0" xfId="2" applyNumberFormat="1" applyFont="1" applyAlignment="1">
      <alignment horizontal="center" vertical="center"/>
    </xf>
    <xf numFmtId="0" fontId="2" fillId="5" borderId="5" xfId="0" applyFont="1" applyFill="1" applyBorder="1"/>
    <xf numFmtId="0" fontId="2" fillId="6" borderId="5" xfId="0" applyFont="1" applyFill="1" applyBorder="1"/>
    <xf numFmtId="165" fontId="2" fillId="5" borderId="5" xfId="0" applyNumberFormat="1" applyFont="1" applyFill="1" applyBorder="1"/>
    <xf numFmtId="165" fontId="2" fillId="6" borderId="5" xfId="0" applyNumberFormat="1" applyFont="1" applyFill="1" applyBorder="1"/>
  </cellXfs>
  <cellStyles count="3">
    <cellStyle name="Hyperlink" xfId="1" xr:uid="{00000000-000B-0000-0000-000008000000}"/>
    <cellStyle name="Normal" xfId="0" builtinId="0"/>
    <cellStyle name="Porcentaje" xfId="2" builtinId="5"/>
  </cellStyles>
  <dxfs count="120">
    <dxf>
      <font>
        <color rgb="FF4D22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42E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D22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42E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D22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42E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D22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542E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</font>
      <numFmt numFmtId="2" formatCode="0.00"/>
      <alignment horizontal="center"/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00_-;\-* #,##0.000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alignment horizontal="center" vertical="center"/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numFmt numFmtId="166" formatCode="[&lt;4]&quot;Baja: &quot;0.0;[&lt;7]&quot;Media: &quot;0.0;&quot;Alta: &quot;0.0"/>
      <alignment horizontal="center" vertical="center" textRotation="0" wrapText="0" indent="0" justifyLastLine="0" shrinkToFit="0" readingOrder="0"/>
    </dxf>
    <dxf>
      <alignment horizontal="center" vertical="center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00_-;\-* #,##0.000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alignment horizontal="center" vertical="center"/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numFmt numFmtId="166" formatCode="[&lt;4]&quot;Baja: &quot;0.0;[&lt;7]&quot;Media: &quot;0.0;&quot;Alta: &quot;0.0"/>
      <alignment horizontal="center" vertical="center" textRotation="0" wrapText="0" indent="0" justifyLastLine="0" shrinkToFit="0" readingOrder="0"/>
    </dxf>
    <dxf>
      <alignment horizontal="center" vertical="center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.0000_-;\-* #,##0.000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alignment horizontal="center" vertical="center"/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numFmt numFmtId="166" formatCode="[&lt;4]&quot;Baja: &quot;0.0;[&lt;7]&quot;Media: &quot;0.0;&quot;Alta: &quot;0.0"/>
      <alignment horizontal="center" vertical="center" textRotation="0" wrapText="0" indent="0" justifyLastLine="0" shrinkToFit="0" readingOrder="0"/>
    </dxf>
    <dxf>
      <alignment horizontal="center" vertical="center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989494"/>
      <color rgb="FF4D2200"/>
      <color rgb="FFFFC400"/>
      <color rgb="FF542E00"/>
      <color rgb="FF91FF00"/>
      <color rgb="FF00FFAA"/>
      <color rgb="FF648000"/>
      <color rgb="FFFFDA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Avance de Procesos</a:t>
            </a:r>
          </a:p>
          <a:p>
            <a:pPr>
              <a:defRPr/>
            </a:pP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3859432685336898"/>
          <c:y val="0.19840304182509505"/>
          <c:w val="0.73207628450381967"/>
          <c:h val="0.7057860543097511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Granel!$A$2:$A$6</c:f>
              <c:strCache>
                <c:ptCount val="5"/>
                <c:pt idx="0">
                  <c:v>Cambio de razón social</c:v>
                </c:pt>
                <c:pt idx="1">
                  <c:v>Devolución por trasvasije</c:v>
                </c:pt>
                <c:pt idx="2">
                  <c:v>Bloqueo por sobregiro</c:v>
                </c:pt>
                <c:pt idx="3">
                  <c:v>Retiro de tanque</c:v>
                </c:pt>
                <c:pt idx="4">
                  <c:v>Gas de prueba</c:v>
                </c:pt>
              </c:strCache>
            </c:strRef>
          </c:cat>
          <c:val>
            <c:numRef>
              <c:f>Granel!$P$2:$P$6</c:f>
              <c:numCache>
                <c:formatCode>0%</c:formatCode>
                <c:ptCount val="5"/>
                <c:pt idx="0">
                  <c:v>0.76560000000000006</c:v>
                </c:pt>
                <c:pt idx="1">
                  <c:v>0.3906</c:v>
                </c:pt>
                <c:pt idx="2">
                  <c:v>0.3906</c:v>
                </c:pt>
                <c:pt idx="3">
                  <c:v>0.53120000000000001</c:v>
                </c:pt>
                <c:pt idx="4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8-4302-9C43-5769F4D0A7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9364528"/>
        <c:axId val="1799351088"/>
      </c:barChart>
      <c:catAx>
        <c:axId val="179936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351088"/>
        <c:crosses val="autoZero"/>
        <c:auto val="1"/>
        <c:lblAlgn val="ctr"/>
        <c:lblOffset val="100"/>
        <c:noMultiLvlLbl val="0"/>
      </c:catAx>
      <c:valAx>
        <c:axId val="17993510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3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Avance de Procesos</a:t>
            </a:r>
          </a:p>
          <a:p>
            <a:pPr>
              <a:defRPr/>
            </a:pP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3859432685336898"/>
          <c:y val="0.19840304182509505"/>
          <c:w val="0.73207628450381967"/>
          <c:h val="0.7057860543097511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Granel!$A$2:$A$6</c:f>
              <c:strCache>
                <c:ptCount val="5"/>
                <c:pt idx="0">
                  <c:v>Cambio de razón social</c:v>
                </c:pt>
                <c:pt idx="1">
                  <c:v>Devolución por trasvasije</c:v>
                </c:pt>
                <c:pt idx="2">
                  <c:v>Bloqueo por sobregiro</c:v>
                </c:pt>
                <c:pt idx="3">
                  <c:v>Retiro de tanque</c:v>
                </c:pt>
                <c:pt idx="4">
                  <c:v>Gas de prueba</c:v>
                </c:pt>
              </c:strCache>
            </c:strRef>
          </c:cat>
          <c:val>
            <c:numRef>
              <c:f>Granel!$P$2:$P$6</c:f>
              <c:numCache>
                <c:formatCode>0%</c:formatCode>
                <c:ptCount val="5"/>
                <c:pt idx="0">
                  <c:v>0.76560000000000006</c:v>
                </c:pt>
                <c:pt idx="1">
                  <c:v>0.3906</c:v>
                </c:pt>
                <c:pt idx="2">
                  <c:v>0.3906</c:v>
                </c:pt>
                <c:pt idx="3">
                  <c:v>0.53120000000000001</c:v>
                </c:pt>
                <c:pt idx="4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9-4BD3-8E40-B5E284FEB8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9364528"/>
        <c:axId val="1799351088"/>
      </c:barChart>
      <c:catAx>
        <c:axId val="179936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351088"/>
        <c:crosses val="autoZero"/>
        <c:auto val="1"/>
        <c:lblAlgn val="ctr"/>
        <c:lblOffset val="100"/>
        <c:noMultiLvlLbl val="0"/>
      </c:catAx>
      <c:valAx>
        <c:axId val="17993510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3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Avance de Procesos</a:t>
            </a:r>
          </a:p>
          <a:p>
            <a:pPr>
              <a:defRPr/>
            </a:pP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3859432685336898"/>
          <c:y val="0.19840304182509505"/>
          <c:w val="0.73207628450381967"/>
          <c:h val="0.7057860543097511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Granel!$A$2:$A$6</c:f>
              <c:strCache>
                <c:ptCount val="5"/>
                <c:pt idx="0">
                  <c:v>Cambio de razón social</c:v>
                </c:pt>
                <c:pt idx="1">
                  <c:v>Devolución por trasvasije</c:v>
                </c:pt>
                <c:pt idx="2">
                  <c:v>Bloqueo por sobregiro</c:v>
                </c:pt>
                <c:pt idx="3">
                  <c:v>Retiro de tanque</c:v>
                </c:pt>
                <c:pt idx="4">
                  <c:v>Gas de prueba</c:v>
                </c:pt>
              </c:strCache>
            </c:strRef>
          </c:cat>
          <c:val>
            <c:numRef>
              <c:f>Granel!$P$2:$P$6</c:f>
              <c:numCache>
                <c:formatCode>0%</c:formatCode>
                <c:ptCount val="5"/>
                <c:pt idx="0">
                  <c:v>0.76560000000000006</c:v>
                </c:pt>
                <c:pt idx="1">
                  <c:v>0.3906</c:v>
                </c:pt>
                <c:pt idx="2">
                  <c:v>0.3906</c:v>
                </c:pt>
                <c:pt idx="3">
                  <c:v>0.53120000000000001</c:v>
                </c:pt>
                <c:pt idx="4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0-4345-962D-F530602C83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9364528"/>
        <c:axId val="1799351088"/>
      </c:barChart>
      <c:catAx>
        <c:axId val="179936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351088"/>
        <c:crosses val="autoZero"/>
        <c:auto val="1"/>
        <c:lblAlgn val="ctr"/>
        <c:lblOffset val="100"/>
        <c:noMultiLvlLbl val="0"/>
      </c:catAx>
      <c:valAx>
        <c:axId val="17993510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93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136523</xdr:colOff>
      <xdr:row>17</xdr:row>
      <xdr:rowOff>92528</xdr:rowOff>
    </xdr:from>
    <xdr:to>
      <xdr:col>13</xdr:col>
      <xdr:colOff>1490435</xdr:colOff>
      <xdr:row>35</xdr:row>
      <xdr:rowOff>115207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D61757-24C6-493D-95DD-D7ED1025A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136523</xdr:colOff>
      <xdr:row>14</xdr:row>
      <xdr:rowOff>92528</xdr:rowOff>
    </xdr:from>
    <xdr:to>
      <xdr:col>13</xdr:col>
      <xdr:colOff>1490435</xdr:colOff>
      <xdr:row>32</xdr:row>
      <xdr:rowOff>115207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50C4DB-7E47-491B-A602-501E088E5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136523</xdr:colOff>
      <xdr:row>17</xdr:row>
      <xdr:rowOff>92528</xdr:rowOff>
    </xdr:from>
    <xdr:to>
      <xdr:col>13</xdr:col>
      <xdr:colOff>1490435</xdr:colOff>
      <xdr:row>35</xdr:row>
      <xdr:rowOff>115207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68AA1C-A5C6-7E3D-1BBE-EBB4F6B6D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5</bagId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537967-845A-432A-A796-359783753A79}" name="Tabla86" displayName="Tabla86" ref="A1:T6" totalsRowShown="0" headerRowDxfId="119">
  <autoFilter ref="A1:T6" xr:uid="{10537967-845A-432A-A796-359783753A79}"/>
  <tableColumns count="20">
    <tableColumn id="1" xr3:uid="{6C5F92E5-C3C6-4D8E-A49F-6B0B4F47A477}" name="Procesos"/>
    <tableColumn id="6" xr3:uid="{A4A97957-CD05-4190-A7BC-FB5D702CCCF1}" name="Líder"/>
    <tableColumn id="15" xr3:uid="{F530E09C-70F6-4AD4-9CE2-8799819B5F65}" name="¿Contenido dentro de una iniciativa?" dataDxfId="118"/>
    <tableColumn id="19" xr3:uid="{3C563BB5-78D7-45A1-A12D-860D66970785}" name="Fecha Iniciativa" dataDxfId="117"/>
    <tableColumn id="2" xr3:uid="{E521361E-8D00-4B07-BDC9-B96DE0FAAA03}" name="Status del proceso" dataDxfId="116"/>
    <tableColumn id="3" xr3:uid="{D2819821-2057-4A7E-A310-4AC02854555C}" name="Complejidad" dataDxfId="115">
      <calculatedColumnFormula>Tabla4[[#This Row],[Puntaje Final (1-10)]]</calculatedColumnFormula>
    </tableColumn>
    <tableColumn id="4" xr3:uid="{910659FA-862C-418A-9007-D146C6B6B684}" name="To-be" dataDxfId="114"/>
    <tableColumn id="11" xr3:uid="{9B51737A-8E09-4796-9384-789E3D581D12}" name="As-is" dataDxfId="113"/>
    <tableColumn id="5" xr3:uid="{877AE1B5-D153-435F-B52E-B1481A61A124}" name="Notas" dataDxfId="112"/>
    <tableColumn id="14" xr3:uid="{8DE3641F-379A-4221-9320-C93224F5AC4E}" name="Levantar información" dataDxfId="111"/>
    <tableColumn id="13" xr3:uid="{DE691091-0924-4E9C-9FD6-3B0C1763FCB2}" name="Armar diagrama" dataDxfId="110"/>
    <tableColumn id="8" xr3:uid="{5811FC46-4802-4991-847E-0BC4C8DE7412}" name="Validar diagrama" dataDxfId="109"/>
    <tableColumn id="7" xr3:uid="{751291B1-2BE5-4977-BE55-88671D59C139}" name="Mejorar proceso" dataDxfId="108"/>
    <tableColumn id="9" xr3:uid="{9D1BCA4F-9FA0-4C06-9B56-EFD6A64765CF}" name="Validar mejora" dataDxfId="107"/>
    <tableColumn id="12" xr3:uid="{1F59F63E-CD23-4FCF-A4B9-69F9C655A4CF}" name="Implementación" dataDxfId="106"/>
    <tableColumn id="16" xr3:uid="{74EBFE1F-7E13-4D16-9A55-DD551B786EE1}" name="% de avance" dataDxfId="105" dataCellStyle="Porcentaje">
      <calculatedColumnFormula array="1">+SUMPRODUCT(--(J2:O2),TRANSPOSE($N$11:$N$16))</calculatedColumnFormula>
    </tableColumn>
    <tableColumn id="20" xr3:uid="{337DB8B6-848F-4AFB-A923-18731D12D7EF}" name="Fecha Inicio" dataDxfId="104" dataCellStyle="Porcentaje"/>
    <tableColumn id="10" xr3:uid="{D5F2AA22-FAE5-4AD9-A4A0-024DAA6378A6}" name="Tiempo bruto de levantamiento " dataDxfId="103">
      <calculatedColumnFormula>IF(F2&lt;=3, 6.5, IF(F2&lt;=7, 10.5, 15))</calculatedColumnFormula>
    </tableColumn>
    <tableColumn id="17" xr3:uid="{D61ADE36-BC70-4E92-B0A0-7B7DC901078C}" name="Tiempo especifico en semanas" dataDxfId="102">
      <calculatedColumnFormula>6.5 + (F2 - 1) * ((15 - 6.5) / (10 - 1))</calculatedColumnFormula>
    </tableColumn>
    <tableColumn id="18" xr3:uid="{23B9AFFA-2BB1-46FC-AE4C-6682319A6D47}" name="Tiempo en meses" dataDxfId="101">
      <calculatedColumnFormula>(6.5 + (F2 - 1) * 0.9444) / 4.345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E26E95-1ED7-42E2-B8D7-69FDD10E3622}" name="Tabla37" displayName="Tabla37" ref="J10:N17" totalsRowShown="0" headerRowDxfId="100" dataDxfId="98" headerRowBorderDxfId="99" tableBorderDxfId="97" totalsRowBorderDxfId="96">
  <autoFilter ref="J10:N17" xr:uid="{1DE26E95-1ED7-42E2-B8D7-69FDD10E3622}"/>
  <tableColumns count="5">
    <tableColumn id="1" xr3:uid="{8CCFC06F-71F8-4178-88F3-5ABD60AE1EAE}" name="Columna" dataDxfId="95"/>
    <tableColumn id="2" xr3:uid="{3F2EF7F8-BD08-4750-A577-7FD4B7C6664A}" name="Celda" dataDxfId="94"/>
    <tableColumn id="3" xr3:uid="{971835D3-30F9-42D3-BEA1-520733792576}" name="Promedio" dataDxfId="93"/>
    <tableColumn id="4" xr3:uid="{E2517CD1-8726-4109-92FB-1238481C74D3}" name="Peso (%)" dataDxfId="92"/>
    <tableColumn id="5" xr3:uid="{A0A4FC88-C1B8-42FD-903E-A07CA6E46E3B}" name="Factor Decimal" dataDxfId="9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AF62AA-310D-48FE-BA1B-7667C3DBDCA7}" name="Tabla84" displayName="Tabla84" ref="A1:T3" totalsRowShown="0" headerRowDxfId="90">
  <autoFilter ref="A1:T3" xr:uid="{11AF62AA-310D-48FE-BA1B-7667C3DBDCA7}"/>
  <tableColumns count="20">
    <tableColumn id="1" xr3:uid="{7FA43690-F5EB-4E13-9A58-77BAB90416EE}" name="Procesos"/>
    <tableColumn id="6" xr3:uid="{3A89EFDD-17C0-4B54-957C-0FB52980B7A3}" name="Líder"/>
    <tableColumn id="15" xr3:uid="{C0D29E03-98F1-416D-A2E5-131F3BEE4DBF}" name="¿Contenido dentro de una iniciativa?" dataDxfId="89"/>
    <tableColumn id="19" xr3:uid="{47B3B8AD-4B8C-4C6D-BCC7-59727929E1A4}" name="Fecha Iniciativa" dataDxfId="88"/>
    <tableColumn id="2" xr3:uid="{B2387C4F-5517-485B-95EB-0E5682BCFF4F}" name="Status del proceso" dataDxfId="87"/>
    <tableColumn id="3" xr3:uid="{33557364-A07A-43F2-B9D5-50D87CC9B584}" name="Complejidad" dataDxfId="86">
      <calculatedColumnFormula>Tabla4[[#This Row],[Puntaje Final (1-10)]]</calculatedColumnFormula>
    </tableColumn>
    <tableColumn id="4" xr3:uid="{B515DA5E-9024-4A84-9E3E-200AE8C34D77}" name="To-be" dataDxfId="85"/>
    <tableColumn id="11" xr3:uid="{69145EA3-07F3-466C-8301-64DBA9013D74}" name="As-is" dataDxfId="84"/>
    <tableColumn id="5" xr3:uid="{15205F52-713C-4013-928A-E256171033FA}" name="Notas" dataDxfId="83"/>
    <tableColumn id="14" xr3:uid="{FAD82E3E-F21A-49A8-828D-964A9BF62134}" name="Levantar información" dataDxfId="82"/>
    <tableColumn id="13" xr3:uid="{F8EA1DDC-874A-4E16-8657-C5CF9979654B}" name="Armar diagrama" dataDxfId="81"/>
    <tableColumn id="8" xr3:uid="{FAA1E2CD-B097-4C74-8452-0DE0D7CADB1B}" name="Validar diagrama" dataDxfId="80"/>
    <tableColumn id="7" xr3:uid="{A2BB0178-D23F-4179-A0B4-0F8F082A21EC}" name="Mejorar proceso" dataDxfId="79"/>
    <tableColumn id="9" xr3:uid="{EBC42DD4-CA09-42D7-875D-C7B836DAE820}" name="Validar mejora" dataDxfId="78"/>
    <tableColumn id="12" xr3:uid="{FA384004-9376-4186-BC5E-AFD808EE03B1}" name="Implementación" dataDxfId="77"/>
    <tableColumn id="16" xr3:uid="{D7F47828-C923-49B4-932F-3DB282948A1A}" name="% de avance" dataDxfId="76" dataCellStyle="Porcentaje">
      <calculatedColumnFormula array="1">+SUMPRODUCT(--(J2:O2),TRANSPOSE($N$8:$N$13))</calculatedColumnFormula>
    </tableColumn>
    <tableColumn id="20" xr3:uid="{8DF0493C-09A5-43BB-A83A-1C98E2FF5170}" name="Fecha Inicio" dataDxfId="75" dataCellStyle="Porcentaje"/>
    <tableColumn id="10" xr3:uid="{DD10AE7F-0B7F-4F4B-A4D5-8CFBFE66E665}" name="Tiempo bruto de levantamiento " dataDxfId="74">
      <calculatedColumnFormula>IF(F2&lt;=3, 6.5, IF(F2&lt;=7, 10.5, 15))</calculatedColumnFormula>
    </tableColumn>
    <tableColumn id="17" xr3:uid="{BD00BC4D-A4D2-412C-B776-527EE547F3EC}" name="Tiempo especifico en semanas" dataDxfId="73">
      <calculatedColumnFormula>6.5 + (F2 - 1) * ((15 - 6.5) / (10 - 1))</calculatedColumnFormula>
    </tableColumn>
    <tableColumn id="18" xr3:uid="{6DEBBB95-676A-499F-8140-11974486632D}" name="Tiempo en meses" dataDxfId="72">
      <calculatedColumnFormula>(6.5 + (F2 - 1) * 0.9444) / 4.345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1FA8F6-2F96-4D6F-BEBD-C09F4167A1E7}" name="Tabla35" displayName="Tabla35" ref="J7:N14" totalsRowShown="0" headerRowDxfId="71" dataDxfId="69" headerRowBorderDxfId="70" tableBorderDxfId="68" totalsRowBorderDxfId="67">
  <autoFilter ref="J7:N14" xr:uid="{B71FA8F6-2F96-4D6F-BEBD-C09F4167A1E7}"/>
  <tableColumns count="5">
    <tableColumn id="1" xr3:uid="{E5E47028-4EB2-47E1-A331-EF8793193E4B}" name="Columna" dataDxfId="66"/>
    <tableColumn id="2" xr3:uid="{DC99D347-F09A-479C-B803-5B418CBC48F2}" name="Celda" dataDxfId="65"/>
    <tableColumn id="3" xr3:uid="{66A59C75-60FC-4A2D-BA85-3D09A690AD13}" name="Promedio" dataDxfId="64"/>
    <tableColumn id="4" xr3:uid="{0B44A7A1-1887-4359-BF73-914FF1126694}" name="Peso (%)" dataDxfId="63"/>
    <tableColumn id="5" xr3:uid="{E5EDC793-95B4-46D2-B220-2B6353EC5DD4}" name="Factor Decimal" dataDxfId="6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62434C-157C-4CBF-96D0-05B49173FCFD}" name="Tabla8" displayName="Tabla8" ref="A1:T6" totalsRowShown="0" headerRowDxfId="61">
  <autoFilter ref="A1:T6" xr:uid="{F462434C-157C-4CBF-96D0-05B49173FCFD}"/>
  <tableColumns count="20">
    <tableColumn id="1" xr3:uid="{9D6B40D3-3215-4E98-A9FC-D478FB63C1BA}" name="Procesos"/>
    <tableColumn id="6" xr3:uid="{F5B3BD05-8E49-49F1-93DE-92D27F1C49E6}" name="Líder"/>
    <tableColumn id="15" xr3:uid="{1EA989C9-73CA-4A22-B626-AC262B041ED9}" name="¿Contenido dentro de una iniciativa?" dataDxfId="60"/>
    <tableColumn id="19" xr3:uid="{C9D6E896-9CBC-4057-9F81-12423CB4D99E}" name="Fecha Iniciativa" dataDxfId="59"/>
    <tableColumn id="2" xr3:uid="{EEDD7810-0171-43A9-9288-43A6DF88CC68}" name="Status del proceso" dataDxfId="58"/>
    <tableColumn id="3" xr3:uid="{234448FA-6E6F-424A-931A-3653E7178265}" name="Complejidad" dataDxfId="57">
      <calculatedColumnFormula>Tabla4[[#This Row],[Puntaje Final (1-10)]]</calculatedColumnFormula>
    </tableColumn>
    <tableColumn id="4" xr3:uid="{5A4FFE81-7563-4F38-8BE5-EA30FC7C196D}" name="To-be" dataDxfId="56"/>
    <tableColumn id="11" xr3:uid="{35D54FDE-D4BF-4FD2-9479-B2182C98B6D5}" name="As-is" dataDxfId="55"/>
    <tableColumn id="5" xr3:uid="{E6EB2333-E84F-41CE-8EAC-52D77BF66F44}" name="Notas" dataDxfId="54"/>
    <tableColumn id="14" xr3:uid="{8112EDF6-BC89-4919-A355-D2D3D1BF34BA}" name="Levantar información" dataDxfId="53"/>
    <tableColumn id="13" xr3:uid="{2EA9FA24-C3F1-4C14-A867-A6FAC65E747C}" name="Armar diagrama" dataDxfId="52"/>
    <tableColumn id="8" xr3:uid="{CD6D287B-BCEC-45D9-8EB8-A0F76A9F8CAF}" name="Validar diagrama" dataDxfId="51"/>
    <tableColumn id="7" xr3:uid="{F4FF766B-5291-4082-A0FF-A66586E7C142}" name="Mejorar proceso" dataDxfId="50"/>
    <tableColumn id="9" xr3:uid="{0C5A0591-A510-455E-AD87-7F86245A682D}" name="Validar mejora" dataDxfId="49"/>
    <tableColumn id="12" xr3:uid="{C63E8C68-557E-49A9-8D27-236FDCB340BC}" name="Implementación" dataDxfId="48"/>
    <tableColumn id="16" xr3:uid="{8B4C9571-AFDF-4088-806A-0420B7E2442E}" name="% de avance" dataDxfId="47" dataCellStyle="Porcentaje">
      <calculatedColumnFormula array="1">+SUMPRODUCT(--(J2:O2),TRANSPOSE($N$11:$N$16))</calculatedColumnFormula>
    </tableColumn>
    <tableColumn id="20" xr3:uid="{7CE675F8-BCC9-4D91-AE6F-A7A6A1C260DD}" name="Fecha Inicio" dataDxfId="46" dataCellStyle="Porcentaje"/>
    <tableColumn id="10" xr3:uid="{B6DD48A4-1AB9-4C6E-A7E2-D52D8502F05C}" name="Tiempo bruto de levantamiento " dataDxfId="45">
      <calculatedColumnFormula>IF(F2&lt;=3, 6.5, IF(F2&lt;=7, 10.5, 15))</calculatedColumnFormula>
    </tableColumn>
    <tableColumn id="17" xr3:uid="{97833884-FD4C-49EA-8567-FE1DD15B1ED4}" name="Tiempo especifico en semanas" dataDxfId="44">
      <calculatedColumnFormula>6.5 + (F2 - 1) * ((15 - 6.5) / (10 - 1))</calculatedColumnFormula>
    </tableColumn>
    <tableColumn id="18" xr3:uid="{79F26D04-CE30-49F5-B63D-964F30F64CC4}" name="Tiempo en meses" dataDxfId="43">
      <calculatedColumnFormula>(6.5 + (F2 - 1) * 0.9444) / 4.345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1AF38-83D6-494E-8F97-F9D6A5B867B2}" name="Tabla3" displayName="Tabla3" ref="J10:N17" totalsRowShown="0" headerRowDxfId="42" dataDxfId="40" headerRowBorderDxfId="41" tableBorderDxfId="39" totalsRowBorderDxfId="38">
  <autoFilter ref="J10:N17" xr:uid="{1F61AF38-83D6-494E-8F97-F9D6A5B867B2}"/>
  <tableColumns count="5">
    <tableColumn id="1" xr3:uid="{22A678DC-4FD4-457E-BF2F-A5B26AF5A9EF}" name="Columna" dataDxfId="37"/>
    <tableColumn id="2" xr3:uid="{20414C72-C442-4898-9B74-EA7858B03946}" name="Celda" dataDxfId="36"/>
    <tableColumn id="3" xr3:uid="{BA1EDFE7-FD4C-4A18-B24F-51500610B0F3}" name="Promedio" dataDxfId="35"/>
    <tableColumn id="4" xr3:uid="{18E92589-EFEA-448D-8CFF-7A861810DB8E}" name="Peso (%)" dataDxfId="34"/>
    <tableColumn id="5" xr3:uid="{D9FEA8B4-A59E-4AC5-9FA6-A99F7AA97E09}" name="Factor Decimal" dataDxfId="3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D466F-89DF-47BA-AC9E-559F47CB9595}" name="Tabla4" displayName="Tabla4" ref="A1:H6" totalsRowShown="0" headerRowDxfId="32">
  <autoFilter ref="A1:H6" xr:uid="{A4FD466F-89DF-47BA-AC9E-559F47CB9595}"/>
  <tableColumns count="8">
    <tableColumn id="1" xr3:uid="{209BC8CE-A4E5-4EAD-9176-25919D421EE7}" name="Proceso" dataDxfId="31"/>
    <tableColumn id="2" xr3:uid="{AD141033-AAC8-430E-AED3-EE13742AEDEF}" name="Áreas Involucradas (25%)" dataDxfId="30"/>
    <tableColumn id="3" xr3:uid="{81BAF825-E86C-4EAB-83B0-4BEF6E690DAF}" name="Contenido dentro de una iniciativa (20%)" dataDxfId="29"/>
    <tableColumn id="5" xr3:uid="{BD9A8428-D2BF-47C3-8A4D-000DDA7085B1}" name="¿Requiere desarrollo tecnologico? (20%)" dataDxfId="28"/>
    <tableColumn id="6" xr3:uid="{CC386173-731D-4092-A2CC-5DFC807607AC}" name="¿Es un levantamiento nuevo? (15%)" dataDxfId="27"/>
    <tableColumn id="7" xr3:uid="{44DB2B51-5EBC-435E-B533-35DBC727260D}" name="¿Toca un proceso clave? (20%)" dataDxfId="26"/>
    <tableColumn id="8" xr3:uid="{91CAEE15-D755-4AEE-BD7E-76CF718F3FEF}" name="Puntaje Final (1-10)" dataDxfId="25">
      <calculatedColumnFormula>IF(B2="", "", 10 * ( (MATCH(B2, {"1-2";"3-4";"4+"}, 0)/3)*0.25 + N(C2)*0.2 + N(D2)*0.2 + N(E2)*0.15 + N(F2)*0.2 ))</calculatedColumnFormula>
    </tableColumn>
    <tableColumn id="4" xr3:uid="{83E13230-22E5-49E0-9B92-C34352FB3731}" name="Complejidad" dataDxfId="24">
      <calculatedColumnFormula>+IF(Tabla4[[#This Row],[Puntaje Final (1-10)]]&lt;=4,"Baja",IF(Tabla4[[#This Row],[Puntaje Final (1-10)]]&gt;7,"Alta","Media"))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1914-BFA8-48BA-9F36-5CD0C57C9F17}">
  <dimension ref="A1:T41"/>
  <sheetViews>
    <sheetView zoomScale="55" zoomScaleNormal="55" workbookViewId="0">
      <selection activeCell="B13" sqref="B13"/>
    </sheetView>
  </sheetViews>
  <sheetFormatPr baseColWidth="10" defaultRowHeight="14.5" x14ac:dyDescent="0.35"/>
  <sheetData>
    <row r="1" spans="1:20" x14ac:dyDescent="0.35">
      <c r="A1" s="2" t="s">
        <v>0</v>
      </c>
      <c r="B1" s="2" t="s">
        <v>1</v>
      </c>
      <c r="C1" s="2" t="s">
        <v>2</v>
      </c>
      <c r="D1" s="37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7" t="s">
        <v>56</v>
      </c>
      <c r="R1" s="2" t="s">
        <v>16</v>
      </c>
      <c r="S1" s="2" t="s">
        <v>17</v>
      </c>
      <c r="T1" s="2" t="s">
        <v>18</v>
      </c>
    </row>
    <row r="2" spans="1:20" x14ac:dyDescent="0.35">
      <c r="A2" t="s">
        <v>57</v>
      </c>
      <c r="C2" s="19" t="b">
        <v>0</v>
      </c>
      <c r="D2" s="38"/>
      <c r="E2" s="3" t="s">
        <v>20</v>
      </c>
      <c r="F2" s="16">
        <f>Tabla4[[#This Row],[Puntaje Final (1-10)]]</f>
        <v>8.5</v>
      </c>
      <c r="G2" s="7" t="b">
        <v>0</v>
      </c>
      <c r="H2" s="7" t="b">
        <v>0</v>
      </c>
      <c r="I2" s="3"/>
      <c r="J2" s="1" t="b">
        <v>1</v>
      </c>
      <c r="K2" s="1" t="b">
        <v>1</v>
      </c>
      <c r="L2" s="1" t="b">
        <v>1</v>
      </c>
      <c r="M2" s="1" t="b">
        <v>1</v>
      </c>
      <c r="N2" s="1" t="b">
        <v>0</v>
      </c>
      <c r="O2" s="1" t="b">
        <v>0</v>
      </c>
      <c r="P2" s="25" cm="1">
        <f t="array" ref="P2">+SUMPRODUCT(--(J2:O2),TRANSPOSE($N$11:$N$16))</f>
        <v>0.76560000000000006</v>
      </c>
      <c r="Q2" s="41">
        <v>45992</v>
      </c>
      <c r="R2" s="3">
        <f>IF(F2&lt;=3, 6.5, IF(F2&lt;=7, 10.5, 15))</f>
        <v>15</v>
      </c>
      <c r="S2" s="6">
        <f>6.5 + (F2 - 1) * ((15 - 6.5) / (10 - 1))</f>
        <v>13.583333333333332</v>
      </c>
      <c r="T2" s="6">
        <f>(6.5 + (F2 - 1) * 0.9444) / 4.345</f>
        <v>3.1261219792865367</v>
      </c>
    </row>
    <row r="3" spans="1:20" x14ac:dyDescent="0.35">
      <c r="A3" t="s">
        <v>58</v>
      </c>
      <c r="C3" s="19" t="b">
        <v>0</v>
      </c>
      <c r="D3" s="38"/>
      <c r="E3" s="3" t="s">
        <v>20</v>
      </c>
      <c r="F3" s="16">
        <f>Tabla4[[#This Row],[Puntaje Final (1-10)]]</f>
        <v>6.5</v>
      </c>
      <c r="G3" s="7" t="b">
        <v>0</v>
      </c>
      <c r="H3" s="7" t="b">
        <v>0</v>
      </c>
      <c r="I3" s="3"/>
      <c r="J3" s="1" t="b">
        <v>1</v>
      </c>
      <c r="K3" s="1" t="b">
        <v>1</v>
      </c>
      <c r="L3" s="1" t="b">
        <v>1</v>
      </c>
      <c r="M3" s="1" t="b">
        <v>0</v>
      </c>
      <c r="N3" s="1" t="b">
        <v>0</v>
      </c>
      <c r="O3" s="1" t="b">
        <v>0</v>
      </c>
      <c r="P3" s="25" cm="1">
        <f t="array" ref="P3">+SUMPRODUCT(--(J3:O3),TRANSPOSE($N$11:$N$16))</f>
        <v>0.3906</v>
      </c>
      <c r="Q3" s="41">
        <v>45999</v>
      </c>
      <c r="R3" s="3">
        <f>IF(F3&lt;=3, 6.5, IF(F3&lt;=7, 10.5, 15))</f>
        <v>10.5</v>
      </c>
      <c r="S3" s="6">
        <f>6.5 + (F3 - 1) * ((15 - 6.5) / (10 - 1))</f>
        <v>11.694444444444445</v>
      </c>
      <c r="T3" s="6">
        <f>(6.5 + (F3 - 1) * 0.9444) / 4.345</f>
        <v>2.6914154200230151</v>
      </c>
    </row>
    <row r="4" spans="1:20" x14ac:dyDescent="0.35">
      <c r="A4" s="23" t="s">
        <v>59</v>
      </c>
      <c r="C4" s="19" t="b">
        <v>0</v>
      </c>
      <c r="D4" s="38"/>
      <c r="E4" s="3" t="s">
        <v>20</v>
      </c>
      <c r="F4" s="16">
        <f>Tabla4[[#This Row],[Puntaje Final (1-10)]]</f>
        <v>6.0000000000000009</v>
      </c>
      <c r="G4" s="7" t="b">
        <v>0</v>
      </c>
      <c r="H4" s="7" t="b">
        <v>0</v>
      </c>
      <c r="I4" s="3"/>
      <c r="J4" s="1" t="b">
        <v>1</v>
      </c>
      <c r="K4" s="1" t="b">
        <v>1</v>
      </c>
      <c r="L4" s="1" t="b">
        <v>1</v>
      </c>
      <c r="M4" s="1" t="b">
        <v>0</v>
      </c>
      <c r="N4" s="1" t="b">
        <v>0</v>
      </c>
      <c r="O4" s="1" t="b">
        <v>0</v>
      </c>
      <c r="P4" s="25" cm="1">
        <f t="array" ref="P4">+SUMPRODUCT(--(J4:O4),TRANSPOSE($N$11:$N$16))</f>
        <v>0.3906</v>
      </c>
      <c r="Q4" s="41">
        <v>46006</v>
      </c>
      <c r="R4" s="3">
        <f>IF(F4&lt;=3, 6.5, IF(F4&lt;=7, 10.5, 15))</f>
        <v>10.5</v>
      </c>
      <c r="S4" s="6">
        <f>6.5 + (F4 - 1) * ((15 - 6.5) / (10 - 1))</f>
        <v>11.222222222222223</v>
      </c>
      <c r="T4" s="6">
        <f>(6.5 + (F4 - 1) * 0.9444) / 4.345</f>
        <v>2.5827387802071349</v>
      </c>
    </row>
    <row r="5" spans="1:20" x14ac:dyDescent="0.35">
      <c r="A5" t="s">
        <v>60</v>
      </c>
      <c r="C5" s="19" t="b">
        <v>0</v>
      </c>
      <c r="D5" s="38"/>
      <c r="E5" s="3" t="s">
        <v>20</v>
      </c>
      <c r="F5" s="16">
        <f>Tabla4[[#This Row],[Puntaje Final (1-10)]]</f>
        <v>2.5</v>
      </c>
      <c r="G5" s="7" t="b">
        <v>0</v>
      </c>
      <c r="H5" s="7" t="b">
        <v>0</v>
      </c>
      <c r="I5" s="3"/>
      <c r="J5" s="1" t="b">
        <v>1</v>
      </c>
      <c r="K5" s="1" t="b">
        <v>1</v>
      </c>
      <c r="L5" s="1" t="b">
        <v>1</v>
      </c>
      <c r="M5" s="1" t="b">
        <v>0</v>
      </c>
      <c r="N5" s="1" t="b">
        <v>1</v>
      </c>
      <c r="O5" s="1" t="b">
        <v>0</v>
      </c>
      <c r="P5" s="25" cm="1">
        <f t="array" ref="P5">+SUMPRODUCT(--(J5:O5),TRANSPOSE($N$11:$N$16))</f>
        <v>0.53120000000000001</v>
      </c>
      <c r="Q5" s="41">
        <v>46027</v>
      </c>
      <c r="R5" s="3">
        <f>IF(F5&lt;=3, 6.5, IF(F5&lt;=7, 10.5, 15))</f>
        <v>6.5</v>
      </c>
      <c r="S5" s="6">
        <f>6.5 + (F5 - 1) * ((15 - 6.5) / (10 - 1))</f>
        <v>7.9166666666666661</v>
      </c>
      <c r="T5" s="6">
        <f>(6.5 + (F5 - 1) * 0.9444) / 4.345</f>
        <v>1.8220023014959725</v>
      </c>
    </row>
    <row r="6" spans="1:20" x14ac:dyDescent="0.35">
      <c r="A6" t="s">
        <v>61</v>
      </c>
      <c r="B6" s="33"/>
      <c r="C6" s="19" t="b">
        <v>0</v>
      </c>
      <c r="D6" s="38"/>
      <c r="E6" s="3" t="s">
        <v>20</v>
      </c>
      <c r="F6" s="16">
        <f>Tabla4[[#This Row],[Puntaje Final (1-10)]]</f>
        <v>4.5</v>
      </c>
      <c r="G6" s="7" t="b">
        <v>0</v>
      </c>
      <c r="H6" s="7" t="b">
        <v>0</v>
      </c>
      <c r="I6" s="3"/>
      <c r="J6" s="1" t="b">
        <v>1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25" cm="1">
        <f t="array" ref="P6">+SUMPRODUCT(--(J6:O6),TRANSPOSE($N$11:$N$16))</f>
        <v>0.1875</v>
      </c>
      <c r="Q6" s="41">
        <v>46048</v>
      </c>
      <c r="R6" s="3">
        <f>IF(F6&lt;=3, 6.5, IF(F6&lt;=7, 10.5, 15))</f>
        <v>10.5</v>
      </c>
      <c r="S6" s="6">
        <f>6.5 + (F6 - 1) * ((15 - 6.5) / (10 - 1))</f>
        <v>9.8055555555555554</v>
      </c>
      <c r="T6" s="6">
        <f>(6.5 + (F6 - 1) * 0.9444) / 4.345</f>
        <v>2.2567088607594941</v>
      </c>
    </row>
    <row r="7" spans="1:20" x14ac:dyDescent="0.35">
      <c r="C7" s="13"/>
      <c r="D7" s="39"/>
      <c r="E7" s="13"/>
      <c r="G7" s="13"/>
      <c r="H7" s="13"/>
      <c r="Q7" s="40"/>
    </row>
    <row r="8" spans="1:20" x14ac:dyDescent="0.35">
      <c r="C8" s="13"/>
      <c r="D8" s="39"/>
      <c r="E8" s="13"/>
      <c r="G8" s="13"/>
      <c r="H8" s="13"/>
      <c r="Q8" s="40"/>
    </row>
    <row r="9" spans="1:20" x14ac:dyDescent="0.35">
      <c r="C9" s="13"/>
      <c r="D9" s="39"/>
      <c r="E9" s="13"/>
      <c r="F9" s="13"/>
      <c r="G9" s="13"/>
      <c r="H9" s="13"/>
      <c r="I9" s="13"/>
      <c r="Q9" s="40"/>
    </row>
    <row r="10" spans="1:20" x14ac:dyDescent="0.35">
      <c r="C10" s="13"/>
      <c r="D10" s="39"/>
      <c r="E10" s="17" t="s">
        <v>25</v>
      </c>
      <c r="G10" s="13"/>
      <c r="H10" s="13"/>
      <c r="I10" s="13"/>
      <c r="J10" s="26" t="s">
        <v>26</v>
      </c>
      <c r="K10" s="27" t="s">
        <v>27</v>
      </c>
      <c r="L10" s="27" t="s">
        <v>28</v>
      </c>
      <c r="M10" s="27" t="s">
        <v>29</v>
      </c>
      <c r="N10" s="28" t="s">
        <v>30</v>
      </c>
      <c r="Q10" s="40"/>
    </row>
    <row r="11" spans="1:20" x14ac:dyDescent="0.35">
      <c r="D11" s="40"/>
      <c r="E11" s="17" t="s">
        <v>31</v>
      </c>
      <c r="I11" s="13"/>
      <c r="J11" s="12" t="s">
        <v>32</v>
      </c>
      <c r="K11" s="8" t="s">
        <v>33</v>
      </c>
      <c r="L11" s="29">
        <v>2</v>
      </c>
      <c r="M11" s="30">
        <v>0.1875</v>
      </c>
      <c r="N11" s="11">
        <v>0.1875</v>
      </c>
      <c r="P11" s="42" t="s">
        <v>33</v>
      </c>
      <c r="Q11" s="44">
        <v>0.1875</v>
      </c>
    </row>
    <row r="12" spans="1:20" x14ac:dyDescent="0.35">
      <c r="D12" s="40"/>
      <c r="E12" s="18" t="s">
        <v>34</v>
      </c>
      <c r="J12" s="12" t="s">
        <v>35</v>
      </c>
      <c r="K12" s="8" t="s">
        <v>36</v>
      </c>
      <c r="L12" s="29">
        <v>0.67</v>
      </c>
      <c r="M12" s="30">
        <v>6.25E-2</v>
      </c>
      <c r="N12" s="11">
        <v>6.25E-2</v>
      </c>
      <c r="P12" s="43" t="s">
        <v>36</v>
      </c>
      <c r="Q12" s="45">
        <v>6.25E-2</v>
      </c>
    </row>
    <row r="13" spans="1:20" x14ac:dyDescent="0.35">
      <c r="B13" s="4"/>
      <c r="D13" s="40"/>
      <c r="F13" s="34"/>
      <c r="J13" s="12" t="s">
        <v>37</v>
      </c>
      <c r="K13" s="8" t="s">
        <v>38</v>
      </c>
      <c r="L13" s="29">
        <v>1.5</v>
      </c>
      <c r="M13" s="30">
        <v>0.1406</v>
      </c>
      <c r="N13" s="11">
        <v>0.1406</v>
      </c>
      <c r="P13" s="42" t="s">
        <v>38</v>
      </c>
      <c r="Q13" s="44">
        <v>0.1406</v>
      </c>
    </row>
    <row r="14" spans="1:20" x14ac:dyDescent="0.35">
      <c r="B14" s="4"/>
      <c r="D14" s="40"/>
      <c r="F14" s="33"/>
      <c r="J14" s="12" t="s">
        <v>39</v>
      </c>
      <c r="K14" s="8" t="s">
        <v>40</v>
      </c>
      <c r="L14" s="29">
        <v>4</v>
      </c>
      <c r="M14" s="30">
        <v>0.375</v>
      </c>
      <c r="N14" s="11">
        <v>0.375</v>
      </c>
      <c r="P14" s="43" t="s">
        <v>40</v>
      </c>
      <c r="Q14" s="45">
        <v>0.375</v>
      </c>
    </row>
    <row r="15" spans="1:20" x14ac:dyDescent="0.35">
      <c r="B15" s="4"/>
      <c r="D15" s="40"/>
      <c r="J15" s="12" t="s">
        <v>41</v>
      </c>
      <c r="K15" s="8" t="s">
        <v>42</v>
      </c>
      <c r="L15" s="29">
        <v>1.5</v>
      </c>
      <c r="M15" s="30">
        <v>0.1406</v>
      </c>
      <c r="N15" s="11">
        <v>0.1406</v>
      </c>
      <c r="P15" s="42" t="s">
        <v>42</v>
      </c>
      <c r="Q15" s="44">
        <v>0.1406</v>
      </c>
    </row>
    <row r="16" spans="1:20" x14ac:dyDescent="0.35">
      <c r="B16" s="4"/>
      <c r="D16" s="40"/>
      <c r="J16" s="12" t="s">
        <v>14</v>
      </c>
      <c r="K16" s="8" t="s">
        <v>43</v>
      </c>
      <c r="L16" s="29">
        <v>1</v>
      </c>
      <c r="M16" s="30">
        <v>9.3799999999999994E-2</v>
      </c>
      <c r="N16" s="11">
        <v>9.3799999999999994E-2</v>
      </c>
      <c r="P16" s="43" t="s">
        <v>43</v>
      </c>
      <c r="Q16" s="45">
        <v>9.3799999999999994E-2</v>
      </c>
    </row>
    <row r="17" spans="2:20" x14ac:dyDescent="0.35">
      <c r="B17" s="4"/>
      <c r="D17" s="40"/>
      <c r="J17" s="31" t="s">
        <v>44</v>
      </c>
      <c r="K17" s="32"/>
      <c r="L17" s="9">
        <v>10.67</v>
      </c>
      <c r="M17" s="10">
        <v>1</v>
      </c>
      <c r="N17" s="11">
        <v>1</v>
      </c>
      <c r="Q17" s="40"/>
    </row>
    <row r="18" spans="2:20" x14ac:dyDescent="0.35">
      <c r="B18" s="4"/>
      <c r="D18" s="40"/>
      <c r="Q18" s="40"/>
    </row>
    <row r="19" spans="2:20" x14ac:dyDescent="0.35">
      <c r="B19" s="4"/>
      <c r="D19" s="40"/>
      <c r="N19" s="24"/>
      <c r="O19" s="24"/>
      <c r="P19" s="24"/>
      <c r="Q19" s="40"/>
      <c r="R19" s="24"/>
      <c r="S19" s="24"/>
      <c r="T19" s="24"/>
    </row>
    <row r="20" spans="2:20" x14ac:dyDescent="0.35">
      <c r="B20" s="4"/>
      <c r="D20" s="40"/>
      <c r="N20" s="24"/>
      <c r="Q20" s="40"/>
    </row>
    <row r="21" spans="2:20" x14ac:dyDescent="0.35">
      <c r="B21" s="4"/>
      <c r="D21" s="40"/>
      <c r="N21" s="24"/>
      <c r="Q21" s="40"/>
    </row>
    <row r="22" spans="2:20" x14ac:dyDescent="0.35">
      <c r="B22" s="4"/>
      <c r="D22" s="40"/>
      <c r="N22" s="24"/>
      <c r="Q22" s="40"/>
    </row>
    <row r="23" spans="2:20" x14ac:dyDescent="0.35">
      <c r="B23" s="4"/>
      <c r="D23" s="40"/>
      <c r="N23" s="24"/>
      <c r="Q23" s="40"/>
    </row>
    <row r="24" spans="2:20" x14ac:dyDescent="0.35">
      <c r="B24" s="4"/>
      <c r="D24" s="40"/>
      <c r="N24" s="24"/>
      <c r="Q24" s="40"/>
    </row>
    <row r="25" spans="2:20" x14ac:dyDescent="0.35">
      <c r="B25" s="4"/>
      <c r="D25" s="40"/>
      <c r="N25" s="24"/>
      <c r="Q25" s="40"/>
      <c r="R25" s="33"/>
    </row>
    <row r="26" spans="2:20" x14ac:dyDescent="0.35">
      <c r="B26" s="4"/>
      <c r="D26" s="40"/>
      <c r="Q26" s="40"/>
    </row>
    <row r="27" spans="2:20" x14ac:dyDescent="0.35">
      <c r="B27" s="4"/>
      <c r="D27" s="40"/>
      <c r="Q27" s="40"/>
    </row>
    <row r="28" spans="2:20" x14ac:dyDescent="0.35">
      <c r="D28" s="40"/>
      <c r="Q28" s="40"/>
    </row>
    <row r="29" spans="2:20" x14ac:dyDescent="0.35">
      <c r="D29" s="40"/>
      <c r="Q29" s="40"/>
    </row>
    <row r="30" spans="2:20" x14ac:dyDescent="0.35">
      <c r="D30" s="40"/>
      <c r="Q30" s="40"/>
    </row>
    <row r="31" spans="2:20" x14ac:dyDescent="0.35">
      <c r="D31" s="40"/>
      <c r="Q31" s="40"/>
    </row>
    <row r="32" spans="2:20" x14ac:dyDescent="0.35">
      <c r="D32" s="40"/>
      <c r="Q32" s="40"/>
    </row>
    <row r="33" spans="4:17" x14ac:dyDescent="0.35">
      <c r="D33" s="40"/>
      <c r="Q33" s="40"/>
    </row>
    <row r="34" spans="4:17" x14ac:dyDescent="0.35">
      <c r="D34" s="40"/>
      <c r="Q34" s="40"/>
    </row>
    <row r="35" spans="4:17" x14ac:dyDescent="0.35">
      <c r="D35" s="40"/>
      <c r="Q35" s="40"/>
    </row>
    <row r="36" spans="4:17" x14ac:dyDescent="0.35">
      <c r="D36" s="40"/>
      <c r="Q36" s="40"/>
    </row>
    <row r="37" spans="4:17" x14ac:dyDescent="0.35">
      <c r="D37" s="40"/>
      <c r="Q37" s="40"/>
    </row>
    <row r="38" spans="4:17" x14ac:dyDescent="0.35">
      <c r="D38" s="40"/>
      <c r="Q38" s="40"/>
    </row>
    <row r="39" spans="4:17" x14ac:dyDescent="0.35">
      <c r="D39" s="40"/>
      <c r="Q39" s="40"/>
    </row>
    <row r="40" spans="4:17" x14ac:dyDescent="0.35">
      <c r="D40" s="40"/>
      <c r="Q40" s="40"/>
    </row>
    <row r="41" spans="4:17" x14ac:dyDescent="0.35">
      <c r="D41" s="40"/>
      <c r="Q41" s="40"/>
    </row>
  </sheetData>
  <conditionalFormatting sqref="A2:D6">
    <cfRule type="expression" dxfId="23" priority="6">
      <formula>$H2=TRUE</formula>
    </cfRule>
    <cfRule type="expression" dxfId="22" priority="7">
      <formula>$G2=FALSE</formula>
    </cfRule>
    <cfRule type="expression" dxfId="21" priority="8">
      <formula>$G2=TRUE</formula>
    </cfRule>
  </conditionalFormatting>
  <conditionalFormatting sqref="E1:E6 E13:E41">
    <cfRule type="cellIs" dxfId="20" priority="3" operator="equal">
      <formula>"Listo"</formula>
    </cfRule>
    <cfRule type="cellIs" dxfId="19" priority="4" operator="equal">
      <formula>"No iniciado"</formula>
    </cfRule>
    <cfRule type="cellIs" dxfId="18" priority="5" operator="equal">
      <formula>"En curso"</formula>
    </cfRule>
  </conditionalFormatting>
  <conditionalFormatting sqref="F2:F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S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6 R2:R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E2:E6" xr:uid="{9EF8EA59-F559-43BF-A368-A6700DA2832D}">
      <formula1>"No iniciado,En curso,Listo"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FC9F-E2B1-4FD0-B740-E450CA39F138}">
  <dimension ref="A1:T38"/>
  <sheetViews>
    <sheetView tabSelected="1" zoomScale="55" zoomScaleNormal="55" workbookViewId="0">
      <selection activeCell="G12" sqref="G12"/>
    </sheetView>
  </sheetViews>
  <sheetFormatPr baseColWidth="10" defaultRowHeight="14.5" x14ac:dyDescent="0.35"/>
  <sheetData>
    <row r="1" spans="1:20" ht="14.5" customHeight="1" x14ac:dyDescent="0.35">
      <c r="A1" s="2" t="s">
        <v>0</v>
      </c>
      <c r="B1" s="2" t="s">
        <v>1</v>
      </c>
      <c r="C1" s="2" t="s">
        <v>2</v>
      </c>
      <c r="D1" s="37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7" t="s">
        <v>56</v>
      </c>
      <c r="R1" s="2" t="s">
        <v>16</v>
      </c>
      <c r="S1" s="2" t="s">
        <v>17</v>
      </c>
      <c r="T1" s="2" t="s">
        <v>18</v>
      </c>
    </row>
    <row r="2" spans="1:20" x14ac:dyDescent="0.35">
      <c r="A2" t="s">
        <v>62</v>
      </c>
      <c r="C2" s="19" t="b">
        <v>0</v>
      </c>
      <c r="D2" s="38"/>
      <c r="E2" s="3" t="s">
        <v>20</v>
      </c>
      <c r="F2" s="16">
        <f>Tabla4[[#This Row],[Puntaje Final (1-10)]]</f>
        <v>8.5</v>
      </c>
      <c r="G2" s="7" t="b">
        <v>0</v>
      </c>
      <c r="H2" s="7" t="b">
        <v>0</v>
      </c>
      <c r="I2" s="3"/>
      <c r="J2" s="1" t="b">
        <v>1</v>
      </c>
      <c r="K2" s="1" t="b">
        <v>1</v>
      </c>
      <c r="L2" s="1" t="b">
        <v>1</v>
      </c>
      <c r="M2" s="1" t="b">
        <v>1</v>
      </c>
      <c r="N2" s="1" t="b">
        <v>0</v>
      </c>
      <c r="O2" s="1" t="b">
        <v>0</v>
      </c>
      <c r="P2" s="25" cm="1">
        <f t="array" ref="P2">+SUMPRODUCT(--(J2:O2),TRANSPOSE($N$8:$N$13))</f>
        <v>0.76560000000000006</v>
      </c>
      <c r="Q2" s="41">
        <v>45992</v>
      </c>
      <c r="R2" s="3">
        <f>IF(F2&lt;=3, 6.5, IF(F2&lt;=7, 10.5, 15))</f>
        <v>15</v>
      </c>
      <c r="S2" s="6">
        <f>6.5 + (F2 - 1) * ((15 - 6.5) / (10 - 1))</f>
        <v>13.583333333333332</v>
      </c>
      <c r="T2" s="6">
        <f>(6.5 + (F2 - 1) * 0.9444) / 4.345</f>
        <v>3.1261219792865367</v>
      </c>
    </row>
    <row r="3" spans="1:20" x14ac:dyDescent="0.35">
      <c r="A3" t="s">
        <v>63</v>
      </c>
      <c r="C3" s="19" t="b">
        <v>0</v>
      </c>
      <c r="D3" s="38"/>
      <c r="E3" s="3" t="s">
        <v>20</v>
      </c>
      <c r="F3" s="16">
        <f>Tabla4[[#This Row],[Puntaje Final (1-10)]]</f>
        <v>6.5</v>
      </c>
      <c r="G3" s="7" t="b">
        <v>0</v>
      </c>
      <c r="H3" s="7" t="b">
        <v>0</v>
      </c>
      <c r="I3" s="3"/>
      <c r="J3" s="1" t="b">
        <v>1</v>
      </c>
      <c r="K3" s="1" t="b">
        <v>1</v>
      </c>
      <c r="L3" s="1" t="b">
        <v>1</v>
      </c>
      <c r="M3" s="1" t="b">
        <v>0</v>
      </c>
      <c r="N3" s="1" t="b">
        <v>0</v>
      </c>
      <c r="O3" s="1" t="b">
        <v>0</v>
      </c>
      <c r="P3" s="25" cm="1">
        <f t="array" ref="P3">+SUMPRODUCT(--(J3:O3),TRANSPOSE($N$8:$N$13))</f>
        <v>0.3906</v>
      </c>
      <c r="Q3" s="41">
        <v>45999</v>
      </c>
      <c r="R3" s="3">
        <f>IF(F3&lt;=3, 6.5, IF(F3&lt;=7, 10.5, 15))</f>
        <v>10.5</v>
      </c>
      <c r="S3" s="6">
        <f>6.5 + (F3 - 1) * ((15 - 6.5) / (10 - 1))</f>
        <v>11.694444444444445</v>
      </c>
      <c r="T3" s="6">
        <f>(6.5 + (F3 - 1) * 0.9444) / 4.345</f>
        <v>2.6914154200230151</v>
      </c>
    </row>
    <row r="4" spans="1:20" x14ac:dyDescent="0.35">
      <c r="C4" s="13"/>
      <c r="D4" s="39"/>
      <c r="E4" s="13"/>
      <c r="G4" s="13"/>
      <c r="H4" s="13"/>
      <c r="Q4" s="40"/>
    </row>
    <row r="5" spans="1:20" x14ac:dyDescent="0.35">
      <c r="C5" s="13"/>
      <c r="D5" s="39"/>
      <c r="E5" s="13"/>
      <c r="G5" s="13"/>
      <c r="H5" s="13"/>
      <c r="Q5" s="40"/>
    </row>
    <row r="6" spans="1:20" x14ac:dyDescent="0.35">
      <c r="C6" s="13"/>
      <c r="D6" s="39"/>
      <c r="E6" s="13"/>
      <c r="F6" s="13"/>
      <c r="G6" s="13"/>
      <c r="H6" s="13"/>
      <c r="I6" s="13"/>
      <c r="Q6" s="40"/>
    </row>
    <row r="7" spans="1:20" x14ac:dyDescent="0.35">
      <c r="C7" s="13"/>
      <c r="D7" s="39"/>
      <c r="E7" s="17" t="s">
        <v>25</v>
      </c>
      <c r="G7" s="13"/>
      <c r="H7" s="13"/>
      <c r="I7" s="13"/>
      <c r="J7" s="26" t="s">
        <v>26</v>
      </c>
      <c r="K7" s="27" t="s">
        <v>27</v>
      </c>
      <c r="L7" s="27" t="s">
        <v>28</v>
      </c>
      <c r="M7" s="27" t="s">
        <v>29</v>
      </c>
      <c r="N7" s="28" t="s">
        <v>30</v>
      </c>
      <c r="Q7" s="40"/>
    </row>
    <row r="8" spans="1:20" x14ac:dyDescent="0.35">
      <c r="D8" s="40"/>
      <c r="E8" s="17" t="s">
        <v>31</v>
      </c>
      <c r="I8" s="13"/>
      <c r="J8" s="12" t="s">
        <v>32</v>
      </c>
      <c r="K8" s="8" t="s">
        <v>33</v>
      </c>
      <c r="L8" s="29">
        <v>2</v>
      </c>
      <c r="M8" s="30">
        <v>0.1875</v>
      </c>
      <c r="N8" s="11">
        <v>0.1875</v>
      </c>
      <c r="P8" s="42" t="s">
        <v>33</v>
      </c>
      <c r="Q8" s="44">
        <v>0.1875</v>
      </c>
    </row>
    <row r="9" spans="1:20" x14ac:dyDescent="0.35">
      <c r="D9" s="40"/>
      <c r="E9" s="18" t="s">
        <v>34</v>
      </c>
      <c r="J9" s="12" t="s">
        <v>35</v>
      </c>
      <c r="K9" s="8" t="s">
        <v>36</v>
      </c>
      <c r="L9" s="29">
        <v>0.67</v>
      </c>
      <c r="M9" s="30">
        <v>6.25E-2</v>
      </c>
      <c r="N9" s="11">
        <v>6.25E-2</v>
      </c>
      <c r="P9" s="43" t="s">
        <v>36</v>
      </c>
      <c r="Q9" s="45">
        <v>6.25E-2</v>
      </c>
    </row>
    <row r="10" spans="1:20" x14ac:dyDescent="0.35">
      <c r="B10" s="4"/>
      <c r="D10" s="40"/>
      <c r="F10" s="34"/>
      <c r="J10" s="12" t="s">
        <v>37</v>
      </c>
      <c r="K10" s="8" t="s">
        <v>38</v>
      </c>
      <c r="L10" s="29">
        <v>1.5</v>
      </c>
      <c r="M10" s="30">
        <v>0.1406</v>
      </c>
      <c r="N10" s="11">
        <v>0.1406</v>
      </c>
      <c r="P10" s="42" t="s">
        <v>38</v>
      </c>
      <c r="Q10" s="44">
        <v>0.1406</v>
      </c>
    </row>
    <row r="11" spans="1:20" x14ac:dyDescent="0.35">
      <c r="B11" s="4"/>
      <c r="D11" s="40"/>
      <c r="F11" s="33"/>
      <c r="J11" s="12" t="s">
        <v>39</v>
      </c>
      <c r="K11" s="8" t="s">
        <v>40</v>
      </c>
      <c r="L11" s="29">
        <v>4</v>
      </c>
      <c r="M11" s="30">
        <v>0.375</v>
      </c>
      <c r="N11" s="11">
        <v>0.375</v>
      </c>
      <c r="P11" s="43" t="s">
        <v>40</v>
      </c>
      <c r="Q11" s="45">
        <v>0.375</v>
      </c>
    </row>
    <row r="12" spans="1:20" x14ac:dyDescent="0.35">
      <c r="B12" s="4"/>
      <c r="D12" s="40"/>
      <c r="G12" s="33"/>
      <c r="J12" s="12" t="s">
        <v>41</v>
      </c>
      <c r="K12" s="8" t="s">
        <v>42</v>
      </c>
      <c r="L12" s="29">
        <v>1.5</v>
      </c>
      <c r="M12" s="30">
        <v>0.1406</v>
      </c>
      <c r="N12" s="11">
        <v>0.1406</v>
      </c>
      <c r="P12" s="42" t="s">
        <v>42</v>
      </c>
      <c r="Q12" s="44">
        <v>0.1406</v>
      </c>
    </row>
    <row r="13" spans="1:20" x14ac:dyDescent="0.35">
      <c r="B13" s="4"/>
      <c r="D13" s="40"/>
      <c r="J13" s="12" t="s">
        <v>14</v>
      </c>
      <c r="K13" s="8" t="s">
        <v>43</v>
      </c>
      <c r="L13" s="29">
        <v>1</v>
      </c>
      <c r="M13" s="30">
        <v>9.3799999999999994E-2</v>
      </c>
      <c r="N13" s="11">
        <v>9.3799999999999994E-2</v>
      </c>
      <c r="P13" s="43" t="s">
        <v>43</v>
      </c>
      <c r="Q13" s="45">
        <v>9.3799999999999994E-2</v>
      </c>
    </row>
    <row r="14" spans="1:20" x14ac:dyDescent="0.35">
      <c r="B14" s="4"/>
      <c r="D14" s="40"/>
      <c r="J14" s="31" t="s">
        <v>44</v>
      </c>
      <c r="K14" s="32"/>
      <c r="L14" s="9">
        <v>10.67</v>
      </c>
      <c r="M14" s="10">
        <v>1</v>
      </c>
      <c r="N14" s="11">
        <v>1</v>
      </c>
      <c r="Q14" s="40"/>
    </row>
    <row r="15" spans="1:20" x14ac:dyDescent="0.35">
      <c r="B15" s="4"/>
      <c r="D15" s="40"/>
      <c r="Q15" s="40"/>
    </row>
    <row r="16" spans="1:20" x14ac:dyDescent="0.35">
      <c r="B16" s="4"/>
      <c r="D16" s="40"/>
      <c r="N16" s="24"/>
      <c r="O16" s="24"/>
      <c r="P16" s="24"/>
      <c r="Q16" s="40"/>
      <c r="R16" s="24"/>
      <c r="S16" s="24"/>
      <c r="T16" s="24"/>
    </row>
    <row r="17" spans="2:17" x14ac:dyDescent="0.35">
      <c r="B17" s="4"/>
      <c r="D17" s="40"/>
      <c r="N17" s="24"/>
      <c r="Q17" s="40"/>
    </row>
    <row r="18" spans="2:17" x14ac:dyDescent="0.35">
      <c r="B18" s="4"/>
      <c r="D18" s="40"/>
      <c r="N18" s="24"/>
      <c r="Q18" s="40"/>
    </row>
    <row r="19" spans="2:17" x14ac:dyDescent="0.35">
      <c r="B19" s="4"/>
      <c r="D19" s="40"/>
      <c r="N19" s="24"/>
      <c r="Q19" s="40"/>
    </row>
    <row r="20" spans="2:17" x14ac:dyDescent="0.35">
      <c r="B20" s="4"/>
      <c r="D20" s="40"/>
      <c r="N20" s="24"/>
      <c r="Q20" s="40"/>
    </row>
    <row r="21" spans="2:17" x14ac:dyDescent="0.35">
      <c r="B21" s="4"/>
      <c r="D21" s="40"/>
      <c r="N21" s="24"/>
      <c r="Q21" s="40"/>
    </row>
    <row r="22" spans="2:17" x14ac:dyDescent="0.35">
      <c r="B22" s="4"/>
      <c r="D22" s="40"/>
      <c r="N22" s="24"/>
      <c r="Q22" s="40"/>
    </row>
    <row r="23" spans="2:17" x14ac:dyDescent="0.35">
      <c r="B23" s="4"/>
      <c r="D23" s="40"/>
      <c r="Q23" s="40"/>
    </row>
    <row r="24" spans="2:17" x14ac:dyDescent="0.35">
      <c r="B24" s="4"/>
      <c r="D24" s="40"/>
      <c r="Q24" s="40"/>
    </row>
    <row r="25" spans="2:17" x14ac:dyDescent="0.35">
      <c r="D25" s="40"/>
      <c r="Q25" s="40"/>
    </row>
    <row r="26" spans="2:17" x14ac:dyDescent="0.35">
      <c r="D26" s="40"/>
      <c r="Q26" s="40"/>
    </row>
    <row r="27" spans="2:17" x14ac:dyDescent="0.35">
      <c r="D27" s="40"/>
      <c r="Q27" s="40"/>
    </row>
    <row r="28" spans="2:17" x14ac:dyDescent="0.35">
      <c r="D28" s="40"/>
      <c r="Q28" s="40"/>
    </row>
    <row r="29" spans="2:17" x14ac:dyDescent="0.35">
      <c r="D29" s="40"/>
      <c r="Q29" s="40"/>
    </row>
    <row r="30" spans="2:17" x14ac:dyDescent="0.35">
      <c r="D30" s="40"/>
      <c r="Q30" s="40"/>
    </row>
    <row r="31" spans="2:17" x14ac:dyDescent="0.35">
      <c r="D31" s="40"/>
      <c r="Q31" s="40"/>
    </row>
    <row r="32" spans="2:17" x14ac:dyDescent="0.35">
      <c r="D32" s="40"/>
      <c r="Q32" s="40"/>
    </row>
    <row r="33" spans="4:17" x14ac:dyDescent="0.35">
      <c r="D33" s="40"/>
      <c r="Q33" s="40"/>
    </row>
    <row r="34" spans="4:17" x14ac:dyDescent="0.35">
      <c r="D34" s="40"/>
      <c r="Q34" s="40"/>
    </row>
    <row r="35" spans="4:17" x14ac:dyDescent="0.35">
      <c r="D35" s="40"/>
      <c r="Q35" s="40"/>
    </row>
    <row r="36" spans="4:17" x14ac:dyDescent="0.35">
      <c r="D36" s="40"/>
      <c r="Q36" s="40"/>
    </row>
    <row r="37" spans="4:17" x14ac:dyDescent="0.35">
      <c r="D37" s="40"/>
      <c r="Q37" s="40"/>
    </row>
    <row r="38" spans="4:17" x14ac:dyDescent="0.35">
      <c r="D38" s="40"/>
      <c r="Q38" s="40"/>
    </row>
  </sheetData>
  <conditionalFormatting sqref="A2:D3">
    <cfRule type="expression" dxfId="17" priority="6">
      <formula>$H2=TRUE</formula>
    </cfRule>
    <cfRule type="expression" dxfId="16" priority="7">
      <formula>$G2=FALSE</formula>
    </cfRule>
    <cfRule type="expression" dxfId="15" priority="8">
      <formula>$G2=TRUE</formula>
    </cfRule>
  </conditionalFormatting>
  <conditionalFormatting sqref="E1:E3 E10:E38">
    <cfRule type="cellIs" dxfId="14" priority="3" operator="equal">
      <formula>"Listo"</formula>
    </cfRule>
    <cfRule type="cellIs" dxfId="13" priority="4" operator="equal">
      <formula>"No iniciado"</formula>
    </cfRule>
    <cfRule type="cellIs" dxfId="12" priority="5" operator="equal">
      <formula>"En curso"</formula>
    </cfRule>
  </conditionalFormatting>
  <conditionalFormatting sqref="F2:F3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3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S3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3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3 R2:R3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3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E2:E3" xr:uid="{BF64BDE7-CBAB-4F78-81B2-E23F87FF287C}">
      <formula1>"No iniciado,En curso,Listo"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4591-DDAA-4945-939F-A4AF72524E54}">
  <dimension ref="A1:T46"/>
  <sheetViews>
    <sheetView zoomScale="55" zoomScaleNormal="55" zoomScaleSheetLayoutView="50" workbookViewId="0">
      <pane xSplit="1" topLeftCell="B1" activePane="topRight" state="frozen"/>
      <selection pane="topRight" activeCell="U16" sqref="U16"/>
    </sheetView>
  </sheetViews>
  <sheetFormatPr baseColWidth="10" defaultColWidth="8.7265625" defaultRowHeight="14.5" x14ac:dyDescent="0.35"/>
  <cols>
    <col min="1" max="3" width="10.90625" customWidth="1"/>
    <col min="4" max="4" width="10.90625" style="40" customWidth="1"/>
    <col min="5" max="16" width="10.90625" customWidth="1"/>
    <col min="17" max="17" width="10.90625" style="40" customWidth="1"/>
    <col min="18" max="20" width="10.90625" customWidth="1"/>
  </cols>
  <sheetData>
    <row r="1" spans="1:20" ht="14.5" customHeight="1" x14ac:dyDescent="0.35">
      <c r="A1" s="2" t="s">
        <v>0</v>
      </c>
      <c r="B1" s="2" t="s">
        <v>1</v>
      </c>
      <c r="C1" s="2" t="s">
        <v>2</v>
      </c>
      <c r="D1" s="37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7" t="s">
        <v>56</v>
      </c>
      <c r="R1" s="2" t="s">
        <v>16</v>
      </c>
      <c r="S1" s="2" t="s">
        <v>17</v>
      </c>
      <c r="T1" s="2" t="s">
        <v>18</v>
      </c>
    </row>
    <row r="2" spans="1:20" ht="14.5" customHeight="1" x14ac:dyDescent="0.35">
      <c r="A2" t="s">
        <v>19</v>
      </c>
      <c r="C2" s="19" t="b">
        <v>0</v>
      </c>
      <c r="D2" s="38"/>
      <c r="E2" s="3" t="s">
        <v>20</v>
      </c>
      <c r="F2" s="16">
        <f>Tabla4[[#This Row],[Puntaje Final (1-10)]]</f>
        <v>8.5</v>
      </c>
      <c r="G2" s="7" t="b">
        <v>0</v>
      </c>
      <c r="H2" s="7" t="b">
        <v>0</v>
      </c>
      <c r="I2" s="3"/>
      <c r="J2" s="1" t="b">
        <v>1</v>
      </c>
      <c r="K2" s="1" t="b">
        <v>1</v>
      </c>
      <c r="L2" s="1" t="b">
        <v>1</v>
      </c>
      <c r="M2" s="1" t="b">
        <v>1</v>
      </c>
      <c r="N2" s="1" t="b">
        <v>0</v>
      </c>
      <c r="O2" s="1" t="b">
        <v>0</v>
      </c>
      <c r="P2" s="25" cm="1">
        <f t="array" ref="P2">+SUMPRODUCT(--(J2:O2),TRANSPOSE($N$11:$N$16))</f>
        <v>0.76560000000000006</v>
      </c>
      <c r="Q2" s="41">
        <v>45992</v>
      </c>
      <c r="R2" s="3">
        <f>IF(F2&lt;=3, 6.5, IF(F2&lt;=7, 10.5, 15))</f>
        <v>15</v>
      </c>
      <c r="S2" s="6">
        <f>6.5 + (F2 - 1) * ((15 - 6.5) / (10 - 1))</f>
        <v>13.583333333333332</v>
      </c>
      <c r="T2" s="6">
        <f>(6.5 + (F2 - 1) * 0.9444) / 4.345</f>
        <v>3.1261219792865367</v>
      </c>
    </row>
    <row r="3" spans="1:20" ht="14.5" customHeight="1" x14ac:dyDescent="0.35">
      <c r="A3" t="s">
        <v>21</v>
      </c>
      <c r="C3" s="19" t="b">
        <v>0</v>
      </c>
      <c r="D3" s="38"/>
      <c r="E3" s="3" t="s">
        <v>20</v>
      </c>
      <c r="F3" s="16">
        <f>Tabla4[[#This Row],[Puntaje Final (1-10)]]</f>
        <v>6.5</v>
      </c>
      <c r="G3" s="7" t="b">
        <v>0</v>
      </c>
      <c r="H3" s="7" t="b">
        <v>0</v>
      </c>
      <c r="I3" s="3"/>
      <c r="J3" s="1" t="b">
        <v>1</v>
      </c>
      <c r="K3" s="1" t="b">
        <v>1</v>
      </c>
      <c r="L3" s="1" t="b">
        <v>1</v>
      </c>
      <c r="M3" s="1" t="b">
        <v>0</v>
      </c>
      <c r="N3" s="1" t="b">
        <v>0</v>
      </c>
      <c r="O3" s="1" t="b">
        <v>0</v>
      </c>
      <c r="P3" s="25" cm="1">
        <f t="array" ref="P3">+SUMPRODUCT(--(J3:O3),TRANSPOSE($N$11:$N$16))</f>
        <v>0.3906</v>
      </c>
      <c r="Q3" s="41">
        <v>45999</v>
      </c>
      <c r="R3" s="3">
        <f>IF(F3&lt;=3, 6.5, IF(F3&lt;=7, 10.5, 15))</f>
        <v>10.5</v>
      </c>
      <c r="S3" s="6">
        <f>6.5 + (F3 - 1) * ((15 - 6.5) / (10 - 1))</f>
        <v>11.694444444444445</v>
      </c>
      <c r="T3" s="6">
        <f>(6.5 + (F3 - 1) * 0.9444) / 4.345</f>
        <v>2.6914154200230151</v>
      </c>
    </row>
    <row r="4" spans="1:20" ht="14.5" customHeight="1" x14ac:dyDescent="0.35">
      <c r="A4" s="23" t="s">
        <v>22</v>
      </c>
      <c r="C4" s="19" t="b">
        <v>0</v>
      </c>
      <c r="D4" s="38"/>
      <c r="E4" s="3" t="s">
        <v>20</v>
      </c>
      <c r="F4" s="16">
        <f>Tabla4[[#This Row],[Puntaje Final (1-10)]]</f>
        <v>6.0000000000000009</v>
      </c>
      <c r="G4" s="7" t="b">
        <v>0</v>
      </c>
      <c r="H4" s="7" t="b">
        <v>0</v>
      </c>
      <c r="I4" s="3"/>
      <c r="J4" s="1" t="b">
        <v>1</v>
      </c>
      <c r="K4" s="1" t="b">
        <v>1</v>
      </c>
      <c r="L4" s="1" t="b">
        <v>1</v>
      </c>
      <c r="M4" s="1" t="b">
        <v>0</v>
      </c>
      <c r="N4" s="1" t="b">
        <v>0</v>
      </c>
      <c r="O4" s="1" t="b">
        <v>0</v>
      </c>
      <c r="P4" s="25" cm="1">
        <f t="array" ref="P4">+SUMPRODUCT(--(J4:O4),TRANSPOSE($N$11:$N$16))</f>
        <v>0.3906</v>
      </c>
      <c r="Q4" s="41">
        <v>46006</v>
      </c>
      <c r="R4" s="3">
        <f>IF(F4&lt;=3, 6.5, IF(F4&lt;=7, 10.5, 15))</f>
        <v>10.5</v>
      </c>
      <c r="S4" s="6">
        <f>6.5 + (F4 - 1) * ((15 - 6.5) / (10 - 1))</f>
        <v>11.222222222222223</v>
      </c>
      <c r="T4" s="6">
        <f>(6.5 + (F4 - 1) * 0.9444) / 4.345</f>
        <v>2.5827387802071349</v>
      </c>
    </row>
    <row r="5" spans="1:20" ht="14.5" customHeight="1" x14ac:dyDescent="0.35">
      <c r="A5" t="s">
        <v>23</v>
      </c>
      <c r="C5" s="19" t="b">
        <v>0</v>
      </c>
      <c r="D5" s="38"/>
      <c r="E5" s="3" t="s">
        <v>20</v>
      </c>
      <c r="F5" s="16">
        <f>Tabla4[[#This Row],[Puntaje Final (1-10)]]</f>
        <v>2.5</v>
      </c>
      <c r="G5" s="7" t="b">
        <v>0</v>
      </c>
      <c r="H5" s="7" t="b">
        <v>0</v>
      </c>
      <c r="I5" s="3"/>
      <c r="J5" s="1" t="b">
        <v>1</v>
      </c>
      <c r="K5" s="1" t="b">
        <v>1</v>
      </c>
      <c r="L5" s="1" t="b">
        <v>1</v>
      </c>
      <c r="M5" s="1" t="b">
        <v>0</v>
      </c>
      <c r="N5" s="1" t="b">
        <v>1</v>
      </c>
      <c r="O5" s="1" t="b">
        <v>0</v>
      </c>
      <c r="P5" s="25" cm="1">
        <f t="array" ref="P5">+SUMPRODUCT(--(J5:O5),TRANSPOSE($N$11:$N$16))</f>
        <v>0.53120000000000001</v>
      </c>
      <c r="Q5" s="41">
        <v>46027</v>
      </c>
      <c r="R5" s="3">
        <f>IF(F5&lt;=3, 6.5, IF(F5&lt;=7, 10.5, 15))</f>
        <v>6.5</v>
      </c>
      <c r="S5" s="6">
        <f>6.5 + (F5 - 1) * ((15 - 6.5) / (10 - 1))</f>
        <v>7.9166666666666661</v>
      </c>
      <c r="T5" s="6">
        <f>(6.5 + (F5 - 1) * 0.9444) / 4.345</f>
        <v>1.8220023014959725</v>
      </c>
    </row>
    <row r="6" spans="1:20" ht="14.5" customHeight="1" x14ac:dyDescent="0.35">
      <c r="A6" t="s">
        <v>24</v>
      </c>
      <c r="B6" s="33"/>
      <c r="C6" s="19" t="b">
        <v>0</v>
      </c>
      <c r="D6" s="38"/>
      <c r="E6" s="3" t="s">
        <v>20</v>
      </c>
      <c r="F6" s="16">
        <f>Tabla4[[#This Row],[Puntaje Final (1-10)]]</f>
        <v>4.5</v>
      </c>
      <c r="G6" s="7" t="b">
        <v>0</v>
      </c>
      <c r="H6" s="7" t="b">
        <v>0</v>
      </c>
      <c r="I6" s="3"/>
      <c r="J6" s="1" t="b">
        <v>1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25" cm="1">
        <f t="array" ref="P6">+SUMPRODUCT(--(J6:O6),TRANSPOSE($N$11:$N$16))</f>
        <v>0.1875</v>
      </c>
      <c r="Q6" s="41">
        <v>46048</v>
      </c>
      <c r="R6" s="3">
        <f>IF(F6&lt;=3, 6.5, IF(F6&lt;=7, 10.5, 15))</f>
        <v>10.5</v>
      </c>
      <c r="S6" s="6">
        <f>6.5 + (F6 - 1) * ((15 - 6.5) / (10 - 1))</f>
        <v>9.8055555555555554</v>
      </c>
      <c r="T6" s="6">
        <f>(6.5 + (F6 - 1) * 0.9444) / 4.345</f>
        <v>2.2567088607594941</v>
      </c>
    </row>
    <row r="7" spans="1:20" x14ac:dyDescent="0.35">
      <c r="C7" s="13"/>
      <c r="D7" s="39"/>
      <c r="E7" s="13"/>
      <c r="G7" s="13"/>
      <c r="H7" s="13"/>
    </row>
    <row r="8" spans="1:20" ht="15" customHeight="1" x14ac:dyDescent="0.35">
      <c r="C8" s="13"/>
      <c r="D8" s="39"/>
      <c r="E8" s="13"/>
      <c r="G8" s="13"/>
      <c r="H8" s="13"/>
    </row>
    <row r="9" spans="1:20" x14ac:dyDescent="0.35">
      <c r="C9" s="13"/>
      <c r="D9" s="39"/>
      <c r="E9" s="13"/>
      <c r="F9" s="13"/>
      <c r="G9" s="13"/>
      <c r="H9" s="13"/>
      <c r="I9" s="13"/>
    </row>
    <row r="10" spans="1:20" x14ac:dyDescent="0.35">
      <c r="C10" s="13"/>
      <c r="D10" s="39"/>
      <c r="E10" s="17" t="s">
        <v>25</v>
      </c>
      <c r="G10" s="13"/>
      <c r="H10" s="13"/>
      <c r="I10" s="13"/>
      <c r="J10" s="26" t="s">
        <v>26</v>
      </c>
      <c r="K10" s="27" t="s">
        <v>27</v>
      </c>
      <c r="L10" s="27" t="s">
        <v>28</v>
      </c>
      <c r="M10" s="27" t="s">
        <v>29</v>
      </c>
      <c r="N10" s="28" t="s">
        <v>30</v>
      </c>
    </row>
    <row r="11" spans="1:20" x14ac:dyDescent="0.35">
      <c r="E11" s="17" t="s">
        <v>31</v>
      </c>
      <c r="I11" s="13"/>
      <c r="J11" s="12" t="s">
        <v>32</v>
      </c>
      <c r="K11" s="8" t="s">
        <v>33</v>
      </c>
      <c r="L11" s="29">
        <v>2</v>
      </c>
      <c r="M11" s="30">
        <v>0.1875</v>
      </c>
      <c r="N11" s="11">
        <v>0.1875</v>
      </c>
      <c r="P11" s="42" t="s">
        <v>33</v>
      </c>
      <c r="Q11" s="44">
        <v>0.1875</v>
      </c>
    </row>
    <row r="12" spans="1:20" x14ac:dyDescent="0.35">
      <c r="E12" s="18" t="s">
        <v>34</v>
      </c>
      <c r="J12" s="12" t="s">
        <v>35</v>
      </c>
      <c r="K12" s="8" t="s">
        <v>36</v>
      </c>
      <c r="L12" s="29">
        <v>0.67</v>
      </c>
      <c r="M12" s="30">
        <v>6.25E-2</v>
      </c>
      <c r="N12" s="11">
        <v>6.25E-2</v>
      </c>
      <c r="P12" s="43" t="s">
        <v>36</v>
      </c>
      <c r="Q12" s="45">
        <v>6.25E-2</v>
      </c>
    </row>
    <row r="13" spans="1:20" x14ac:dyDescent="0.35">
      <c r="B13" s="4"/>
      <c r="F13" s="34"/>
      <c r="J13" s="12" t="s">
        <v>37</v>
      </c>
      <c r="K13" s="8" t="s">
        <v>38</v>
      </c>
      <c r="L13" s="29">
        <v>1.5</v>
      </c>
      <c r="M13" s="30">
        <v>0.1406</v>
      </c>
      <c r="N13" s="11">
        <v>0.1406</v>
      </c>
      <c r="P13" s="42" t="s">
        <v>38</v>
      </c>
      <c r="Q13" s="44">
        <v>0.1406</v>
      </c>
    </row>
    <row r="14" spans="1:20" x14ac:dyDescent="0.35">
      <c r="B14" s="4"/>
      <c r="F14" s="33"/>
      <c r="J14" s="12" t="s">
        <v>39</v>
      </c>
      <c r="K14" s="8" t="s">
        <v>40</v>
      </c>
      <c r="L14" s="29">
        <v>4</v>
      </c>
      <c r="M14" s="30">
        <v>0.375</v>
      </c>
      <c r="N14" s="11">
        <v>0.375</v>
      </c>
      <c r="P14" s="43" t="s">
        <v>40</v>
      </c>
      <c r="Q14" s="45">
        <v>0.375</v>
      </c>
    </row>
    <row r="15" spans="1:20" x14ac:dyDescent="0.35">
      <c r="B15" s="4"/>
      <c r="J15" s="12" t="s">
        <v>41</v>
      </c>
      <c r="K15" s="8" t="s">
        <v>42</v>
      </c>
      <c r="L15" s="29">
        <v>1.5</v>
      </c>
      <c r="M15" s="30">
        <v>0.1406</v>
      </c>
      <c r="N15" s="11">
        <v>0.1406</v>
      </c>
      <c r="P15" s="42" t="s">
        <v>42</v>
      </c>
      <c r="Q15" s="44">
        <v>0.1406</v>
      </c>
    </row>
    <row r="16" spans="1:20" x14ac:dyDescent="0.35">
      <c r="B16" s="4"/>
      <c r="J16" s="12" t="s">
        <v>14</v>
      </c>
      <c r="K16" s="8" t="s">
        <v>43</v>
      </c>
      <c r="L16" s="29">
        <v>1</v>
      </c>
      <c r="M16" s="30">
        <v>9.3799999999999994E-2</v>
      </c>
      <c r="N16" s="11">
        <v>9.3799999999999994E-2</v>
      </c>
      <c r="P16" s="43" t="s">
        <v>43</v>
      </c>
      <c r="Q16" s="45">
        <v>9.3799999999999994E-2</v>
      </c>
    </row>
    <row r="17" spans="2:20" x14ac:dyDescent="0.35">
      <c r="B17" s="4"/>
      <c r="J17" s="31" t="s">
        <v>44</v>
      </c>
      <c r="K17" s="32"/>
      <c r="L17" s="9">
        <v>10.67</v>
      </c>
      <c r="M17" s="10">
        <v>1</v>
      </c>
      <c r="N17" s="11">
        <v>1</v>
      </c>
    </row>
    <row r="18" spans="2:20" x14ac:dyDescent="0.35">
      <c r="B18" s="4"/>
    </row>
    <row r="19" spans="2:20" x14ac:dyDescent="0.35">
      <c r="B19" s="4"/>
      <c r="N19" s="24"/>
      <c r="O19" s="24"/>
      <c r="P19" s="24"/>
      <c r="R19" s="24"/>
      <c r="S19" s="24"/>
      <c r="T19" s="24"/>
    </row>
    <row r="20" spans="2:20" x14ac:dyDescent="0.35">
      <c r="B20" s="4"/>
      <c r="N20" s="24"/>
    </row>
    <row r="21" spans="2:20" x14ac:dyDescent="0.35">
      <c r="B21" s="4"/>
      <c r="N21" s="24"/>
    </row>
    <row r="22" spans="2:20" x14ac:dyDescent="0.35">
      <c r="B22" s="4"/>
      <c r="N22" s="24"/>
    </row>
    <row r="23" spans="2:20" x14ac:dyDescent="0.35">
      <c r="B23" s="4"/>
      <c r="N23" s="24"/>
    </row>
    <row r="24" spans="2:20" x14ac:dyDescent="0.35">
      <c r="B24" s="4"/>
      <c r="N24" s="24"/>
    </row>
    <row r="25" spans="2:20" x14ac:dyDescent="0.35">
      <c r="B25" s="4"/>
      <c r="N25" s="24"/>
    </row>
    <row r="26" spans="2:20" x14ac:dyDescent="0.35">
      <c r="B26" s="4"/>
    </row>
    <row r="27" spans="2:20" x14ac:dyDescent="0.35">
      <c r="B27" s="4"/>
    </row>
    <row r="46" spans="10:10" x14ac:dyDescent="0.35">
      <c r="J46" s="33"/>
    </row>
  </sheetData>
  <conditionalFormatting sqref="A2:D6">
    <cfRule type="expression" dxfId="11" priority="23">
      <formula>$H2=TRUE</formula>
    </cfRule>
    <cfRule type="expression" dxfId="10" priority="24">
      <formula>$G2=FALSE</formula>
    </cfRule>
    <cfRule type="expression" dxfId="9" priority="25">
      <formula>$G2=TRUE</formula>
    </cfRule>
  </conditionalFormatting>
  <conditionalFormatting sqref="E1:E6 E13:E1048576">
    <cfRule type="cellIs" dxfId="8" priority="8" operator="equal">
      <formula>"Listo"</formula>
    </cfRule>
    <cfRule type="cellIs" dxfId="7" priority="9" operator="equal">
      <formula>"No iniciado"</formula>
    </cfRule>
    <cfRule type="cellIs" dxfId="6" priority="10" operator="equal">
      <formula>"En curso"</formula>
    </cfRule>
  </conditionalFormatting>
  <conditionalFormatting sqref="F2:F6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S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6 R2:R6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list" allowBlank="1" showInputMessage="1" showErrorMessage="1" sqref="E2:E6" xr:uid="{53C5890D-94D7-4190-81AB-DC129B7CCE70}">
      <formula1>"No iniciado,En curso,Listo"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A592-A579-4963-915C-84924787727F}">
  <dimension ref="A1:H15"/>
  <sheetViews>
    <sheetView zoomScale="55" zoomScaleNormal="55" workbookViewId="0">
      <pane xSplit="1" topLeftCell="B1" activePane="topRight" state="frozen"/>
      <selection pane="topRight" activeCell="C16" sqref="C16"/>
    </sheetView>
  </sheetViews>
  <sheetFormatPr baseColWidth="10" defaultColWidth="8.7265625" defaultRowHeight="14.5" x14ac:dyDescent="0.35"/>
  <cols>
    <col min="1" max="1" width="55.453125" customWidth="1"/>
    <col min="2" max="2" width="32" customWidth="1"/>
    <col min="3" max="3" width="46.7265625" customWidth="1"/>
    <col min="4" max="4" width="45.81640625" customWidth="1"/>
    <col min="5" max="5" width="39.26953125" customWidth="1"/>
    <col min="6" max="6" width="33.7265625" customWidth="1"/>
    <col min="7" max="7" width="28.7265625" customWidth="1"/>
    <col min="8" max="8" width="21.453125" customWidth="1"/>
  </cols>
  <sheetData>
    <row r="1" spans="1:8" ht="36" customHeight="1" x14ac:dyDescent="0.35">
      <c r="A1" s="14" t="s">
        <v>45</v>
      </c>
      <c r="B1" s="14" t="s">
        <v>46</v>
      </c>
      <c r="C1" s="14" t="s">
        <v>47</v>
      </c>
      <c r="D1" s="14" t="s">
        <v>48</v>
      </c>
      <c r="E1" s="14" t="s">
        <v>49</v>
      </c>
      <c r="F1" s="14" t="s">
        <v>50</v>
      </c>
      <c r="G1" s="14" t="s">
        <v>51</v>
      </c>
      <c r="H1" s="14" t="s">
        <v>5</v>
      </c>
    </row>
    <row r="2" spans="1:8" ht="25" customHeight="1" x14ac:dyDescent="0.35">
      <c r="A2" t="s">
        <v>19</v>
      </c>
      <c r="B2" s="36" t="s">
        <v>52</v>
      </c>
      <c r="C2" s="35" t="b">
        <v>1</v>
      </c>
      <c r="D2" s="15" t="b">
        <v>1</v>
      </c>
      <c r="E2" s="15" t="b">
        <v>0</v>
      </c>
      <c r="F2" s="15" t="b">
        <v>1</v>
      </c>
      <c r="G2" s="22">
        <f>IF(B2="", "", 10 * ( (MATCH(B2, {"1-2";"3-4";"4+"}, 0)/3)*0.25 + N(C2)*0.2 + N(D2)*0.2 + N(E2)*0.15 + N(F2)*0.2 ))</f>
        <v>8.5</v>
      </c>
      <c r="H2" t="str">
        <f>+IF(Tabla4[[#This Row],[Puntaje Final (1-10)]]&lt;=4,"Baja",IF(Tabla4[[#This Row],[Puntaje Final (1-10)]]&gt;7,"Alta","Media"))</f>
        <v>Alta</v>
      </c>
    </row>
    <row r="3" spans="1:8" ht="25" customHeight="1" x14ac:dyDescent="0.35">
      <c r="A3" t="s">
        <v>21</v>
      </c>
      <c r="B3" s="36" t="s">
        <v>52</v>
      </c>
      <c r="C3" s="15" t="b">
        <v>0</v>
      </c>
      <c r="D3" s="15" t="b">
        <v>1</v>
      </c>
      <c r="E3" s="15" t="b">
        <v>0</v>
      </c>
      <c r="F3" s="15" t="b">
        <v>1</v>
      </c>
      <c r="G3" s="22">
        <f>IF(B3="", "", 10 * ( (MATCH(B3, {"1-2";"3-4";"4+"}, 0)/3)*0.25 + N(C3)*0.2 + N(D3)*0.2 + N(E3)*0.15 + N(F3)*0.2 ))</f>
        <v>6.5</v>
      </c>
      <c r="H3" t="str">
        <f>+IF(Tabla4[[#This Row],[Puntaje Final (1-10)]]&lt;=4,"Baja",IF(Tabla4[[#This Row],[Puntaje Final (1-10)]]&gt;7,"Alta","Media"))</f>
        <v>Media</v>
      </c>
    </row>
    <row r="4" spans="1:8" ht="25" customHeight="1" x14ac:dyDescent="0.35">
      <c r="A4" s="23" t="s">
        <v>22</v>
      </c>
      <c r="B4" s="36" t="s">
        <v>52</v>
      </c>
      <c r="C4" s="1" t="b">
        <v>0</v>
      </c>
      <c r="D4" s="1" t="b">
        <v>0</v>
      </c>
      <c r="E4" s="1" t="b">
        <v>1</v>
      </c>
      <c r="F4" s="1" t="b">
        <v>1</v>
      </c>
      <c r="G4" s="22">
        <f>IF(B4="", "", 10 * ( (MATCH(B4, {"1-2";"3-4";"4+"}, 0)/3)*0.25 + N(C4)*0.2 + N(D4)*0.2 + N(E4)*0.15 + N(F4)*0.2 ))</f>
        <v>6.0000000000000009</v>
      </c>
      <c r="H4" t="str">
        <f>+IF(Tabla4[[#This Row],[Puntaje Final (1-10)]]&lt;=4,"Baja",IF(Tabla4[[#This Row],[Puntaje Final (1-10)]]&gt;7,"Alta","Media"))</f>
        <v>Media</v>
      </c>
    </row>
    <row r="5" spans="1:8" ht="25" customHeight="1" x14ac:dyDescent="0.35">
      <c r="A5" t="s">
        <v>23</v>
      </c>
      <c r="B5" s="36" t="s">
        <v>52</v>
      </c>
      <c r="C5" s="1" t="b">
        <v>0</v>
      </c>
      <c r="D5" s="1" t="b">
        <v>0</v>
      </c>
      <c r="E5" s="1" t="b">
        <v>0</v>
      </c>
      <c r="F5" s="1" t="b">
        <v>0</v>
      </c>
      <c r="G5" s="22">
        <f>IF(B5="", "", 10 * ( (MATCH(B5, {"1-2";"3-4";"4+"}, 0)/3)*0.25 + N(C5)*0.2 + N(D5)*0.2 + N(E5)*0.15 + N(F5)*0.2 ))</f>
        <v>2.5</v>
      </c>
      <c r="H5" t="str">
        <f>+IF(Tabla4[[#This Row],[Puntaje Final (1-10)]]&lt;=4,"Baja",IF(Tabla4[[#This Row],[Puntaje Final (1-10)]]&gt;7,"Alta","Media"))</f>
        <v>Baja</v>
      </c>
    </row>
    <row r="6" spans="1:8" ht="25" customHeight="1" x14ac:dyDescent="0.35">
      <c r="A6" t="s">
        <v>24</v>
      </c>
      <c r="B6" s="36" t="s">
        <v>52</v>
      </c>
      <c r="C6" s="1" t="b">
        <v>0</v>
      </c>
      <c r="D6" s="1" t="b">
        <v>0</v>
      </c>
      <c r="E6" s="1" t="b">
        <v>0</v>
      </c>
      <c r="F6" s="1" t="b">
        <v>1</v>
      </c>
      <c r="G6" s="22">
        <f>IF(B6="", "", 10 * ( (MATCH(B6, {"1-2";"3-4";"4+"}, 0)/3)*0.25 + N(C6)*0.2 + N(D6)*0.2 + N(E6)*0.15 + N(F6)*0.2 ))</f>
        <v>4.5</v>
      </c>
      <c r="H6" t="str">
        <f>+IF(Tabla4[[#This Row],[Puntaje Final (1-10)]]&lt;=4,"Baja",IF(Tabla4[[#This Row],[Puntaje Final (1-10)]]&gt;7,"Alta","Media"))</f>
        <v>Media</v>
      </c>
    </row>
    <row r="10" spans="1:8" x14ac:dyDescent="0.35">
      <c r="B10" s="20"/>
    </row>
    <row r="11" spans="1:8" x14ac:dyDescent="0.35">
      <c r="B11" s="20"/>
    </row>
    <row r="12" spans="1:8" x14ac:dyDescent="0.35">
      <c r="B12" s="20"/>
    </row>
    <row r="13" spans="1:8" x14ac:dyDescent="0.35">
      <c r="B13" s="21" t="s">
        <v>53</v>
      </c>
      <c r="C13" s="33"/>
    </row>
    <row r="14" spans="1:8" x14ac:dyDescent="0.35">
      <c r="B14" s="21" t="s">
        <v>54</v>
      </c>
    </row>
    <row r="15" spans="1:8" x14ac:dyDescent="0.35">
      <c r="B15" s="21" t="s">
        <v>55</v>
      </c>
    </row>
  </sheetData>
  <conditionalFormatting sqref="A2:A6">
    <cfRule type="expression" dxfId="5" priority="1">
      <formula>$H2=TRUE</formula>
    </cfRule>
    <cfRule type="expression" dxfId="4" priority="2">
      <formula>$G2=FALSE</formula>
    </cfRule>
    <cfRule type="expression" dxfId="3" priority="3">
      <formula>$G2=TRUE</formula>
    </cfRule>
  </conditionalFormatting>
  <conditionalFormatting sqref="D4">
    <cfRule type="cellIs" dxfId="2" priority="7" operator="equal">
      <formula>"Listo"</formula>
    </cfRule>
    <cfRule type="cellIs" dxfId="1" priority="8" operator="equal">
      <formula>"No iniciado"</formula>
    </cfRule>
    <cfRule type="cellIs" dxfId="0" priority="9" operator="equal">
      <formula>"En curso"</formula>
    </cfRule>
  </conditionalFormatting>
  <dataValidations count="2">
    <dataValidation type="whole" allowBlank="1" showInputMessage="1" showErrorMessage="1" sqref="C9" xr:uid="{D471781F-17EA-4BD9-B718-3326D038A5F8}">
      <formula1>1</formula1>
      <formula2>6</formula2>
    </dataValidation>
    <dataValidation type="list" allowBlank="1" showInputMessage="1" showErrorMessage="1" sqref="B2:B6" xr:uid="{BE3388B9-5AB0-4FEA-8BD1-BA14375D221C}">
      <formula1>"1-2,3-4,4+"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Envasado</vt:lpstr>
      <vt:lpstr>Medidor</vt:lpstr>
      <vt:lpstr>Granel</vt:lpstr>
      <vt:lpstr>Matriz de Complejidad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Lucas Moya Jung</cp:lastModifiedBy>
  <cp:revision/>
  <dcterms:created xsi:type="dcterms:W3CDTF">2026-01-05T15:58:54Z</dcterms:created>
  <dcterms:modified xsi:type="dcterms:W3CDTF">2026-02-02T20:51:07Z</dcterms:modified>
  <cp:category/>
  <cp:contentStatus/>
</cp:coreProperties>
</file>